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549500BB-BB7C-4C44-8FB0-400F7FF98F23}" xr6:coauthVersionLast="47" xr6:coauthVersionMax="47" xr10:uidLastSave="{00000000-0000-0000-0000-000000000000}"/>
  <bookViews>
    <workbookView xWindow="14580" yWindow="9760" windowWidth="18740" windowHeight="884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976E9529-6E14-4604-A2B2-A30D35E9BEE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3EA6C4C-02C9-4399-B379-A03F8AF902E3}">
      <text>
        <r>
          <rPr>
            <sz val="9"/>
            <color indexed="81"/>
            <rFont val="Tahoma"/>
            <family val="2"/>
          </rPr>
          <t>=LET(
    Prezzo, [@[Prezzo Mercato]],
    Divisa, [@Divisa],
     IF(Divisa="EUR", Prezzo,
       LET(
          Data, STOCKHISTORY(Divisa &amp; "/EUR", TODAY()-15, TODAY(), 0, 0, 1),
          TassiValidi, FILTER(Data, ISNUMBER(Data)),
          UltimoTasso, TAKE(TassiValidi, -1),
          Prezzo * UltimoTasso
       )
    )
)</t>
        </r>
      </text>
    </comment>
  </commentList>
</comments>
</file>

<file path=xl/sharedStrings.xml><?xml version="1.0" encoding="utf-8"?>
<sst xmlns="http://schemas.openxmlformats.org/spreadsheetml/2006/main" count="109" uniqueCount="55">
  <si>
    <t>Descrizione Titolo</t>
  </si>
  <si>
    <t>ISIN</t>
  </si>
  <si>
    <t>Quantità</t>
  </si>
  <si>
    <t>Divisa</t>
  </si>
  <si>
    <t>Prezzo Carico (EUR)</t>
  </si>
  <si>
    <t>EUR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</si>
  <si>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</si>
  <si>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</si>
  <si>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</si>
  <si>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</si>
  <si>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</si>
  <si>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</si>
  <si>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</si>
  <si>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</si>
  <si>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</si>
  <si>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</si>
  <si>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</si>
  <si>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</si>
  <si>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</si>
  <si>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</si>
  <si>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</si>
  <si>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</si>
  <si>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</si>
  <si>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</si>
  <si>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</si>
  <si>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</si>
  <si>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</si>
  <si>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</si>
  <si>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</si>
  <si>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</si>
  <si>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</si>
  <si>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</si>
  <si>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</si>
  <si>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</si>
  <si>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</si>
  <si>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</si>
  <si>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</si>
  <si>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</si>
  <si>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</si>
  <si>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</si>
  <si>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</si>
  <si>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</si>
  <si>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</si>
  <si>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</si>
  <si>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</si>
  <si>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</si>
  <si>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</si>
  <si>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</si>
  <si>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</si>
  <si>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</si>
  <si>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</si>
  <si>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</si>
  <si>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</si>
  <si>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USD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</si>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</sst>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5" formatCode="#,##0.00;;\-"/>
    <numFmt numFmtId="166" formatCode="0.0000"/>
    <numFmt numFmtId="167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/>
    <xf numFmtId="0" fontId="4" fillId="0" borderId="7" xfId="0" applyFont="1" applyBorder="1"/>
    <xf numFmtId="0" fontId="4" fillId="0" borderId="8" xfId="0" applyFont="1" applyBorder="1"/>
    <xf numFmtId="4" fontId="4" fillId="0" borderId="7" xfId="0" applyNumberFormat="1" applyFont="1" applyBorder="1" applyAlignment="1">
      <alignment horizontal="center"/>
    </xf>
    <xf numFmtId="165" fontId="4" fillId="0" borderId="7" xfId="0" applyNumberFormat="1" applyFont="1" applyBorder="1" applyAlignment="1">
      <alignment horizontal="center" vertical="center"/>
    </xf>
    <xf numFmtId="166" fontId="4" fillId="0" borderId="7" xfId="0" applyNumberFormat="1" applyFont="1" applyBorder="1"/>
    <xf numFmtId="167" fontId="0" fillId="0" borderId="1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8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7" formatCode="#,##0.0000\ &quot;€&quot;;[Red]\-#,##0.0000\ &quot;€&quot;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6" formatCode="0.0000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5" formatCode="#,##0.00;;\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4" formatCode="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G19" totalsRowShown="0" headerRowDxfId="0" dataDxfId="22" tableBorderDxfId="21">
  <autoFilter ref="A1:G19" xr:uid="{A644CB40-5D0E-4EC7-B73F-375AD248FD75}"/>
  <tableColumns count="7">
    <tableColumn id="1" xr3:uid="{13244BAA-6E4E-45A8-BE73-4D4764516016}" name="Descrizione Titolo" dataDxfId="20" totalsRowDxfId="19"/>
    <tableColumn id="2" xr3:uid="{F51F4DA1-A077-4914-80B4-AD8AFEA9ADAD}" name="ISIN" dataDxfId="18" totalsRowDxfId="17"/>
    <tableColumn id="3" xr3:uid="{C2133E33-0C58-4FAA-8AA3-38DFFFDB3BB4}" name="Quantità" dataDxfId="16" totalsRowDxfId="15"/>
    <tableColumn id="4" xr3:uid="{D1F0CC62-5D59-4DA0-8EAB-4BB138EF8A47}" name="Divisa" dataDxfId="14" totalsRowDxfId="13"/>
    <tableColumn id="5" xr3:uid="{C9B3D54A-E0B9-4828-98B2-9CC4D10E4F29}" name="Prezzo Carico (EUR)" dataDxfId="12" totalsRowDxfId="11"/>
    <tableColumn id="6" xr3:uid="{D840105F-A0FF-48B3-B6D2-7C8E4E15D7F8}" name="Data" dataDxfId="10" totalsRowDxfId="9"/>
    <tableColumn id="9" xr3:uid="{CB075AA3-AE95-48F4-96AF-9F28838DD478}" name="Prezzo Corrente (EUR)" dataDxfId="8" totalsRow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K20"/>
  <sheetViews>
    <sheetView showGridLines="0" tabSelected="1" workbookViewId="0">
      <pane ySplit="1" topLeftCell="A2" activePane="bottomLeft" state="frozenSplit"/>
      <selection pane="bottomLeft" sqref="A1:G1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21.90625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1" ht="15" thickBot="1" x14ac:dyDescent="0.4">
      <c r="A1" s="29" t="s">
        <v>0</v>
      </c>
      <c r="B1" s="30" t="s">
        <v>1</v>
      </c>
      <c r="C1" s="29" t="s">
        <v>2</v>
      </c>
      <c r="D1" s="29" t="s">
        <v>3</v>
      </c>
      <c r="E1" s="29" t="s">
        <v>4</v>
      </c>
      <c r="F1" s="31" t="s">
        <v>54</v>
      </c>
      <c r="G1" s="31" t="s">
        <v>6</v>
      </c>
      <c r="I1" s="15">
        <f>SUM(I2:I19)</f>
        <v>486324.08348221995</v>
      </c>
      <c r="J1" s="14" t="s">
        <v>52</v>
      </c>
    </row>
    <row r="2" spans="1:11" x14ac:dyDescent="0.35">
      <c r="A2" s="16" t="s">
        <v>24</v>
      </c>
      <c r="B2" s="17" t="s">
        <v>46</v>
      </c>
      <c r="C2" s="18">
        <v>99.85</v>
      </c>
      <c r="D2" s="19" t="s">
        <v>5</v>
      </c>
      <c r="E2" s="20">
        <v>100</v>
      </c>
      <c r="F2" s="13">
        <v>46053</v>
      </c>
      <c r="G2" s="26">
        <v>100.33</v>
      </c>
      <c r="I2" s="28">
        <f>+C2*G2</f>
        <v>10017.950499999999</v>
      </c>
    </row>
    <row r="3" spans="1:11" x14ac:dyDescent="0.35">
      <c r="A3" s="16" t="s">
        <v>26</v>
      </c>
      <c r="B3" s="17" t="s">
        <v>48</v>
      </c>
      <c r="C3" s="18">
        <v>155</v>
      </c>
      <c r="D3" s="19" t="s">
        <v>5</v>
      </c>
      <c r="E3" s="20">
        <v>94.621300000000005</v>
      </c>
      <c r="F3" s="13">
        <v>46053</v>
      </c>
      <c r="G3" s="26">
        <v>95.4</v>
      </c>
      <c r="I3" s="28">
        <f>+C3*G3</f>
        <v>14787</v>
      </c>
    </row>
    <row r="4" spans="1:11" x14ac:dyDescent="0.35">
      <c r="A4" s="16" t="s">
        <v>10</v>
      </c>
      <c r="B4" s="17" t="s">
        <v>32</v>
      </c>
      <c r="C4" s="18">
        <v>250</v>
      </c>
      <c r="D4" s="19" t="s">
        <v>5</v>
      </c>
      <c r="E4" s="20">
        <v>90.380700000000004</v>
      </c>
      <c r="F4" s="13">
        <v>46053</v>
      </c>
      <c r="G4" s="26">
        <v>98.92</v>
      </c>
      <c r="I4" s="28">
        <f>+C4*G4</f>
        <v>24730</v>
      </c>
    </row>
    <row r="5" spans="1:11" x14ac:dyDescent="0.35">
      <c r="A5" s="16" t="s">
        <v>8</v>
      </c>
      <c r="B5" s="17" t="s">
        <v>7</v>
      </c>
      <c r="C5" s="18">
        <v>786.29</v>
      </c>
      <c r="D5" s="19" t="s">
        <v>5</v>
      </c>
      <c r="E5" s="20">
        <v>31.14</v>
      </c>
      <c r="F5" s="13">
        <v>46053</v>
      </c>
      <c r="G5" s="26">
        <v>33.770000000000003</v>
      </c>
      <c r="I5" s="28">
        <f>+C5*G5</f>
        <v>26553.013300000002</v>
      </c>
      <c r="K5" s="28"/>
    </row>
    <row r="6" spans="1:11" x14ac:dyDescent="0.35">
      <c r="A6" s="16" t="s">
        <v>13</v>
      </c>
      <c r="B6" s="17" t="s">
        <v>35</v>
      </c>
      <c r="C6" s="18">
        <v>570</v>
      </c>
      <c r="D6" s="19" t="s">
        <v>5</v>
      </c>
      <c r="E6" s="20">
        <v>8.8187999999999995</v>
      </c>
      <c r="F6" s="13">
        <v>46053</v>
      </c>
      <c r="G6" s="26">
        <v>9.125</v>
      </c>
      <c r="I6" s="28">
        <f>+C6*G6</f>
        <v>5201.25</v>
      </c>
      <c r="K6" s="28"/>
    </row>
    <row r="7" spans="1:11" x14ac:dyDescent="0.35">
      <c r="A7" s="16" t="s">
        <v>27</v>
      </c>
      <c r="B7" s="17" t="s">
        <v>49</v>
      </c>
      <c r="C7" s="18">
        <v>237</v>
      </c>
      <c r="D7" s="19" t="s">
        <v>5</v>
      </c>
      <c r="E7" s="20">
        <v>42.381100000000004</v>
      </c>
      <c r="F7" s="13">
        <v>46053</v>
      </c>
      <c r="G7" s="26">
        <v>38.380000000000003</v>
      </c>
      <c r="I7" s="28">
        <f>+C7*G7</f>
        <v>9096.0600000000013</v>
      </c>
      <c r="K7" s="28"/>
    </row>
    <row r="8" spans="1:11" x14ac:dyDescent="0.35">
      <c r="A8" s="16" t="s">
        <v>11</v>
      </c>
      <c r="B8" s="17" t="s">
        <v>33</v>
      </c>
      <c r="C8" s="18">
        <v>808.88599999999997</v>
      </c>
      <c r="D8" s="19" t="s">
        <v>5</v>
      </c>
      <c r="E8" s="20">
        <v>79.260800000000003</v>
      </c>
      <c r="F8" s="13">
        <v>46053</v>
      </c>
      <c r="G8" s="26">
        <v>153.56</v>
      </c>
      <c r="I8" s="28">
        <f>+C8*G8</f>
        <v>124212.53416</v>
      </c>
    </row>
    <row r="9" spans="1:11" x14ac:dyDescent="0.35">
      <c r="A9" s="16" t="s">
        <v>12</v>
      </c>
      <c r="B9" s="17" t="s">
        <v>34</v>
      </c>
      <c r="C9" s="18">
        <v>255.42699999999999</v>
      </c>
      <c r="D9" s="19" t="s">
        <v>5</v>
      </c>
      <c r="E9" s="20">
        <v>188.8296</v>
      </c>
      <c r="F9" s="13">
        <v>46053</v>
      </c>
      <c r="G9" s="26">
        <v>387.35</v>
      </c>
      <c r="I9" s="28">
        <f>+C9*G9</f>
        <v>98939.648450000008</v>
      </c>
      <c r="K9" s="28"/>
    </row>
    <row r="10" spans="1:11" x14ac:dyDescent="0.35">
      <c r="A10" s="16" t="s">
        <v>14</v>
      </c>
      <c r="B10" s="17" t="s">
        <v>36</v>
      </c>
      <c r="C10" s="18">
        <v>47</v>
      </c>
      <c r="D10" s="19" t="s">
        <v>5</v>
      </c>
      <c r="E10" s="20">
        <v>108.09699999999999</v>
      </c>
      <c r="F10" s="13">
        <v>46053</v>
      </c>
      <c r="G10" s="26">
        <v>112.51</v>
      </c>
      <c r="I10" s="28">
        <f>+C10*G10</f>
        <v>5287.97</v>
      </c>
    </row>
    <row r="11" spans="1:11" x14ac:dyDescent="0.35">
      <c r="A11" s="16" t="s">
        <v>15</v>
      </c>
      <c r="B11" s="17" t="s">
        <v>37</v>
      </c>
      <c r="C11" s="18">
        <v>945.54899999999998</v>
      </c>
      <c r="D11" s="19" t="s">
        <v>5</v>
      </c>
      <c r="E11" s="20">
        <v>16.910799999999998</v>
      </c>
      <c r="F11" s="13">
        <v>46053</v>
      </c>
      <c r="G11" s="26">
        <v>21.368099999999998</v>
      </c>
      <c r="I11" s="28">
        <f>+C11*G11</f>
        <v>20204.585586899997</v>
      </c>
    </row>
    <row r="12" spans="1:11" x14ac:dyDescent="0.35">
      <c r="A12" s="16" t="s">
        <v>17</v>
      </c>
      <c r="B12" s="17" t="s">
        <v>39</v>
      </c>
      <c r="C12" s="18">
        <v>104.37</v>
      </c>
      <c r="D12" s="19" t="s">
        <v>53</v>
      </c>
      <c r="E12" s="20">
        <v>183.25</v>
      </c>
      <c r="F12" s="13">
        <v>46053</v>
      </c>
      <c r="G12" s="26">
        <v>179.13438399999998</v>
      </c>
      <c r="I12" s="28">
        <f>+C12*G12</f>
        <v>18696.255658079997</v>
      </c>
    </row>
    <row r="13" spans="1:11" x14ac:dyDescent="0.35">
      <c r="A13" s="16" t="s">
        <v>18</v>
      </c>
      <c r="B13" s="17" t="s">
        <v>40</v>
      </c>
      <c r="C13" s="18">
        <v>207.953</v>
      </c>
      <c r="D13" s="19" t="s">
        <v>53</v>
      </c>
      <c r="E13" s="20">
        <v>86.142099999999999</v>
      </c>
      <c r="F13" s="13">
        <v>46053</v>
      </c>
      <c r="G13" s="26">
        <v>135.32948000000002</v>
      </c>
      <c r="I13" s="28">
        <f>+C13*G13</f>
        <v>28142.171354440005</v>
      </c>
    </row>
    <row r="14" spans="1:11" x14ac:dyDescent="0.35">
      <c r="A14" s="16" t="s">
        <v>19</v>
      </c>
      <c r="B14" s="17" t="s">
        <v>41</v>
      </c>
      <c r="C14" s="18">
        <v>448.18400000000003</v>
      </c>
      <c r="D14" s="19" t="s">
        <v>5</v>
      </c>
      <c r="E14" s="20">
        <v>24.51</v>
      </c>
      <c r="F14" s="13">
        <v>46053</v>
      </c>
      <c r="G14" s="26">
        <v>35.470399999999998</v>
      </c>
      <c r="I14" s="28">
        <f>+C14*G14</f>
        <v>15897.265753600001</v>
      </c>
    </row>
    <row r="15" spans="1:11" x14ac:dyDescent="0.35">
      <c r="A15" s="16" t="s">
        <v>20</v>
      </c>
      <c r="B15" s="17" t="s">
        <v>42</v>
      </c>
      <c r="C15" s="18">
        <v>117.944</v>
      </c>
      <c r="D15" s="19" t="s">
        <v>5</v>
      </c>
      <c r="E15" s="20">
        <v>188.49709999999999</v>
      </c>
      <c r="F15" s="13">
        <v>46053</v>
      </c>
      <c r="G15" s="26">
        <v>210.97380000000001</v>
      </c>
      <c r="I15" s="28">
        <f>+C15*G15</f>
        <v>24883.093867200001</v>
      </c>
    </row>
    <row r="16" spans="1:11" x14ac:dyDescent="0.35">
      <c r="A16" s="16" t="s">
        <v>22</v>
      </c>
      <c r="B16" s="17" t="s">
        <v>44</v>
      </c>
      <c r="C16" s="18">
        <v>586.02</v>
      </c>
      <c r="D16" s="19" t="s">
        <v>5</v>
      </c>
      <c r="E16" s="20">
        <v>17.7333</v>
      </c>
      <c r="F16" s="13">
        <v>46053</v>
      </c>
      <c r="G16" s="26">
        <v>27.0626</v>
      </c>
      <c r="I16" s="28">
        <f>+C16*G16</f>
        <v>15859.224851999999</v>
      </c>
    </row>
    <row r="17" spans="1:9" x14ac:dyDescent="0.35">
      <c r="A17" s="16" t="s">
        <v>28</v>
      </c>
      <c r="B17" s="17" t="s">
        <v>50</v>
      </c>
      <c r="C17" s="18">
        <v>15</v>
      </c>
      <c r="D17" s="19" t="s">
        <v>5</v>
      </c>
      <c r="E17" s="20">
        <v>1009.4647</v>
      </c>
      <c r="F17" s="13">
        <v>46053</v>
      </c>
      <c r="G17" s="26">
        <v>1005</v>
      </c>
      <c r="I17" s="28">
        <f>+C17*G17</f>
        <v>15075</v>
      </c>
    </row>
    <row r="18" spans="1:9" x14ac:dyDescent="0.35">
      <c r="A18" s="16" t="s">
        <v>29</v>
      </c>
      <c r="B18" s="17" t="s">
        <v>51</v>
      </c>
      <c r="C18" s="18">
        <v>205</v>
      </c>
      <c r="D18" s="19" t="s">
        <v>5</v>
      </c>
      <c r="E18" s="20">
        <v>97.022000000000006</v>
      </c>
      <c r="F18" s="13">
        <v>46053</v>
      </c>
      <c r="G18" s="26">
        <v>99</v>
      </c>
      <c r="I18" s="28">
        <f>+C18*G18</f>
        <v>20295</v>
      </c>
    </row>
    <row r="19" spans="1:9" ht="15" thickBot="1" x14ac:dyDescent="0.4">
      <c r="A19" s="21" t="s">
        <v>23</v>
      </c>
      <c r="B19" s="22" t="s">
        <v>45</v>
      </c>
      <c r="C19" s="23">
        <v>86</v>
      </c>
      <c r="D19" s="24" t="s">
        <v>5</v>
      </c>
      <c r="E19" s="25">
        <v>93.194999999999993</v>
      </c>
      <c r="F19" s="13">
        <v>46053</v>
      </c>
      <c r="G19" s="27">
        <v>98.21</v>
      </c>
      <c r="I19" s="28">
        <f>+C19*G19</f>
        <v>8446.06</v>
      </c>
    </row>
    <row r="20" spans="1:9" ht="15" thickTop="1" x14ac:dyDescent="0.35"/>
  </sheetData>
  <conditionalFormatting sqref="A2:A19">
    <cfRule type="expression" dxfId="6" priority="3" stopIfTrue="1">
      <formula>IF(AND(ISNUMBER(SEARCH("H2O", A2)), ISNUMBER(SEARCH("SP", A2))), 1,0)</formula>
    </cfRule>
    <cfRule type="containsText" dxfId="5" priority="4" stopIfTrue="1" operator="containsText" text="BTP">
      <formula>NOT(ISERROR(SEARCH("BTP",A2)))</formula>
    </cfRule>
  </conditionalFormatting>
  <conditionalFormatting sqref="D2:D19">
    <cfRule type="notContainsText" dxfId="3" priority="2" operator="notContains" text="EUR">
      <formula>ISERROR(SEARCH("EUR",D2))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30</v>
      </c>
    </row>
    <row r="2" spans="1:3" x14ac:dyDescent="0.35">
      <c r="A2" s="5" t="s">
        <v>9</v>
      </c>
      <c r="B2" s="5" t="s">
        <v>31</v>
      </c>
      <c r="C2" s="9">
        <v>45002</v>
      </c>
    </row>
    <row r="3" spans="1:3" x14ac:dyDescent="0.35">
      <c r="A3" s="1" t="s">
        <v>10</v>
      </c>
      <c r="B3" s="1" t="s">
        <v>32</v>
      </c>
      <c r="C3" s="2">
        <v>45002</v>
      </c>
    </row>
    <row r="4" spans="1:3" x14ac:dyDescent="0.35">
      <c r="A4" s="5" t="s">
        <v>8</v>
      </c>
      <c r="B4" s="5" t="s">
        <v>7</v>
      </c>
      <c r="C4" s="9">
        <v>45355</v>
      </c>
    </row>
    <row r="5" spans="1:3" x14ac:dyDescent="0.35">
      <c r="A5" s="1" t="s">
        <v>11</v>
      </c>
      <c r="B5" s="1" t="s">
        <v>33</v>
      </c>
      <c r="C5" s="2">
        <v>45355</v>
      </c>
    </row>
    <row r="6" spans="1:3" x14ac:dyDescent="0.35">
      <c r="A6" s="5" t="s">
        <v>12</v>
      </c>
      <c r="B6" s="5" t="s">
        <v>34</v>
      </c>
      <c r="C6" s="9">
        <v>45355</v>
      </c>
    </row>
    <row r="7" spans="1:3" x14ac:dyDescent="0.35">
      <c r="A7" s="1" t="s">
        <v>17</v>
      </c>
      <c r="B7" s="1" t="s">
        <v>39</v>
      </c>
      <c r="C7" s="2">
        <v>45355</v>
      </c>
    </row>
    <row r="8" spans="1:3" x14ac:dyDescent="0.35">
      <c r="A8" s="5" t="s">
        <v>18</v>
      </c>
      <c r="B8" s="5" t="s">
        <v>40</v>
      </c>
      <c r="C8" s="9">
        <v>45355</v>
      </c>
    </row>
    <row r="9" spans="1:3" x14ac:dyDescent="0.35">
      <c r="A9" s="1" t="s">
        <v>19</v>
      </c>
      <c r="B9" s="1" t="s">
        <v>41</v>
      </c>
      <c r="C9" s="2">
        <v>45355</v>
      </c>
    </row>
    <row r="10" spans="1:3" x14ac:dyDescent="0.35">
      <c r="A10" s="1" t="s">
        <v>21</v>
      </c>
      <c r="B10" s="1" t="s">
        <v>43</v>
      </c>
      <c r="C10" s="2">
        <v>45355</v>
      </c>
    </row>
    <row r="11" spans="1:3" x14ac:dyDescent="0.35">
      <c r="A11" s="5" t="s">
        <v>22</v>
      </c>
      <c r="B11" s="5" t="s">
        <v>44</v>
      </c>
      <c r="C11" s="9">
        <v>45355</v>
      </c>
    </row>
    <row r="12" spans="1:3" x14ac:dyDescent="0.35">
      <c r="A12" s="1" t="s">
        <v>25</v>
      </c>
      <c r="B12" s="1" t="s">
        <v>47</v>
      </c>
      <c r="C12" s="2">
        <v>45355</v>
      </c>
    </row>
    <row r="13" spans="1:3" x14ac:dyDescent="0.35">
      <c r="A13" s="5" t="s">
        <v>24</v>
      </c>
      <c r="B13" s="5" t="s">
        <v>46</v>
      </c>
      <c r="C13" s="9">
        <v>45701</v>
      </c>
    </row>
    <row r="14" spans="1:3" x14ac:dyDescent="0.35">
      <c r="A14" s="1" t="s">
        <v>13</v>
      </c>
      <c r="B14" s="1" t="s">
        <v>35</v>
      </c>
      <c r="C14" s="2">
        <v>45702</v>
      </c>
    </row>
    <row r="15" spans="1:3" x14ac:dyDescent="0.35">
      <c r="A15" s="1" t="s">
        <v>15</v>
      </c>
      <c r="B15" s="1" t="s">
        <v>37</v>
      </c>
      <c r="C15" s="2">
        <v>45702</v>
      </c>
    </row>
    <row r="16" spans="1:3" x14ac:dyDescent="0.35">
      <c r="A16" s="5" t="s">
        <v>16</v>
      </c>
      <c r="B16" s="5" t="s">
        <v>38</v>
      </c>
      <c r="C16" s="9">
        <v>45702</v>
      </c>
    </row>
    <row r="17" spans="1:3" x14ac:dyDescent="0.35">
      <c r="A17" s="5" t="s">
        <v>14</v>
      </c>
      <c r="B17" s="5" t="s">
        <v>36</v>
      </c>
      <c r="C17" s="9">
        <v>45705</v>
      </c>
    </row>
    <row r="18" spans="1:3" x14ac:dyDescent="0.35">
      <c r="A18" s="1" t="s">
        <v>23</v>
      </c>
      <c r="B18" s="1" t="s">
        <v>45</v>
      </c>
      <c r="C18" s="2">
        <v>45706</v>
      </c>
    </row>
    <row r="19" spans="1:3" x14ac:dyDescent="0.35">
      <c r="A19" s="5" t="s">
        <v>20</v>
      </c>
      <c r="B19" s="5" t="s">
        <v>42</v>
      </c>
      <c r="C19" s="9">
        <v>45806</v>
      </c>
    </row>
    <row r="20" spans="1:3" x14ac:dyDescent="0.35">
      <c r="A20" s="6" t="s">
        <v>26</v>
      </c>
      <c r="B20" s="6" t="s">
        <v>48</v>
      </c>
      <c r="C20" s="10">
        <v>46044</v>
      </c>
    </row>
    <row r="21" spans="1:3" x14ac:dyDescent="0.35">
      <c r="A21" s="7" t="s">
        <v>27</v>
      </c>
      <c r="B21" s="7" t="s">
        <v>49</v>
      </c>
      <c r="C21" s="11">
        <v>46044</v>
      </c>
    </row>
    <row r="22" spans="1:3" x14ac:dyDescent="0.35">
      <c r="A22" s="1" t="s">
        <v>29</v>
      </c>
      <c r="B22" s="1" t="s">
        <v>51</v>
      </c>
      <c r="C22" s="2">
        <v>46044</v>
      </c>
    </row>
    <row r="23" spans="1:3" x14ac:dyDescent="0.35">
      <c r="A23" s="6" t="s">
        <v>28</v>
      </c>
      <c r="B23" s="6" t="s">
        <v>50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2" priority="1" stopIfTrue="1" operator="containsText" text="BTP">
      <formula>NOT(ISERROR(SEARCH("BTP",A2)))</formula>
    </cfRule>
    <cfRule type="expression" dxfId="1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2026-02-04T17:01:37Z</dcterms:modified>
</cp:coreProperties>
</file>