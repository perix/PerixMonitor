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1FBD8FC5-2330-4549-A15F-996A24B30B4F}" xr6:coauthVersionLast="47" xr6:coauthVersionMax="47" xr10:uidLastSave="{00000000-0000-0000-0000-000000000000}"/>
  <bookViews>
    <workbookView xWindow="15620" yWindow="10150" windowWidth="28800" windowHeight="1546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<sst xmlns="http://schemas.openxmlformats.org/spreadsheetml/2006/main" count="19" uniqueCount="16">
  <si>
    <t>ISIN</t>
  </si>
  <si>
    <t>Quantità</t>
  </si>
  <si>
    <t>Data (acquisto/vendita)</t>
  </si>
  <si>
    <t>Operazione</t>
  </si>
  <si>
    <t>Prezzo Operazione (EUR)</t>
  </si>
  <si>
    <t>BTP FEBBR 26 0.5%</t>
  </si>
  <si>
    <t>Nordea 1 - Alpha 15 Ma Fund Bp Eur</t>
  </si>
  <si>
    <t>BTP 2025/02/01 0,35%</t>
  </si>
  <si>
    <t>IT0005419848</t>
  </si>
  <si>
    <t>LU0607983896</t>
  </si>
  <si>
    <t>IT0005386245</t>
  </si>
  <si>
    <t>Vendita</t>
  </si>
  <si>
    <t>MEDIOBANCA AB N</t>
  </si>
  <si>
    <t>IT0005630253</t>
  </si>
  <si>
    <t>Descrizione Asset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</si>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</sst>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2" fontId="0" fillId="0" borderId="3" xfId="0" applyNumberFormat="1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8" fontId="0" fillId="0" borderId="3" xfId="0" applyNumberFormat="1" applyBorder="1"/>
    <xf numFmtId="8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numFmt numFmtId="12" formatCode="#,##0.00\ &quot;€&quot;;[Red]\-#,##0.00\ &quot;€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G5" totalsRowShown="0" headerRowDxfId="16" dataDxfId="15" tableBorderDxfId="14">
  <autoFilter ref="A1:G5" xr:uid="{04F4BF02-F5A0-427F-92C4-A60283CF04F1}"/>
  <sortState xmlns:xlrd2="http://schemas.microsoft.com/office/spreadsheetml/2017/richdata2" ref="B2:F5">
    <sortCondition ref="D1:D5"/>
  </sortState>
  <tableColumns count="7">
    <tableColumn id="2" xr3:uid="{C4CDF0AD-2602-44A7-AA26-292542A274A0}" name="ISIN" dataDxfId="9"/>
    <tableColumn id="1" xr3:uid="{B8061C36-8993-4203-ABD6-C7BF7558D40C}" name="Descrizione Asset" dataDxfId="13"/>
    <tableColumn id="3" xr3:uid="{0A18EC50-C250-41F4-83C1-E84B3FDD76A5}" name="Quantità" dataDxfId="12"/>
    <tableColumn id="6" xr3:uid="{1CC3BD49-EF04-4684-84DC-5AB42F08A1CD}" name="Data (acquisto/vendita)" dataDxfId="11"/>
    <tableColumn id="8" xr3:uid="{8C52C664-8EA8-4E89-892F-C9CCC6BB2E54}" name="Prezzo Operazione (EUR)" dataDxfId="8"/>
    <tableColumn id="7" xr3:uid="{0B72A75D-196B-42C0-9E49-163198DF8CDB}" name="Operazione" dataDxfId="10"/>
    <tableColumn id="4" xr3:uid="{A59568BC-F91F-43D5-B118-43C6C86A547D}" name="Not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G10"/>
  <sheetViews>
    <sheetView showGridLines="0" tabSelected="1" workbookViewId="0">
      <selection activeCell="G2" sqref="G2:G5"/>
    </sheetView>
  </sheetViews>
  <sheetFormatPr defaultRowHeight="14.5" x14ac:dyDescent="0.35"/>
  <cols>
    <col min="1" max="1" width="13.08984375" bestFit="1" customWidth="1"/>
    <col min="2" max="2" width="29.453125" bestFit="1" customWidth="1"/>
    <col min="3" max="3" width="12.6328125" bestFit="1" customWidth="1"/>
    <col min="4" max="4" width="25.36328125" bestFit="1" customWidth="1"/>
    <col min="5" max="5" width="25.90625" bestFit="1" customWidth="1"/>
    <col min="6" max="6" width="23.08984375" customWidth="1"/>
    <col min="7" max="7" width="32.08984375" customWidth="1"/>
    <col min="12" max="12" width="13.08984375" bestFit="1" customWidth="1"/>
  </cols>
  <sheetData>
    <row r="1" spans="1:7" x14ac:dyDescent="0.35">
      <c r="A1" s="8" t="s">
        <v>0</v>
      </c>
      <c r="B1" s="7" t="s">
        <v>14</v>
      </c>
      <c r="C1" s="7" t="s">
        <v>1</v>
      </c>
      <c r="D1" s="7" t="s">
        <v>2</v>
      </c>
      <c r="E1" s="7" t="s">
        <v>4</v>
      </c>
      <c r="F1" s="9" t="s">
        <v>3</v>
      </c>
      <c r="G1" s="9" t="s">
        <v>15</v>
      </c>
    </row>
    <row r="2" spans="1:7" x14ac:dyDescent="0.35">
      <c r="A2" s="1" t="s">
        <v>10</v>
      </c>
      <c r="B2" s="1" t="s">
        <v>7</v>
      </c>
      <c r="C2" s="2">
        <v>200</v>
      </c>
      <c r="D2" s="3">
        <v>45691</v>
      </c>
      <c r="E2" s="5">
        <v>100</v>
      </c>
      <c r="F2" s="4" t="s">
        <v>11</v>
      </c>
      <c r="G2" s="10"/>
    </row>
    <row r="3" spans="1:7" x14ac:dyDescent="0.35">
      <c r="A3" s="1" t="s">
        <v>9</v>
      </c>
      <c r="B3" s="1" t="s">
        <v>6</v>
      </c>
      <c r="C3" s="2">
        <v>290.43000000000006</v>
      </c>
      <c r="D3" s="3">
        <v>45807</v>
      </c>
      <c r="E3" s="5">
        <v>87.51</v>
      </c>
      <c r="F3" s="4" t="s">
        <v>11</v>
      </c>
      <c r="G3" s="10"/>
    </row>
    <row r="4" spans="1:7" x14ac:dyDescent="0.35">
      <c r="A4" s="1" t="s">
        <v>8</v>
      </c>
      <c r="B4" s="1" t="s">
        <v>5</v>
      </c>
      <c r="C4" s="2">
        <v>200</v>
      </c>
      <c r="D4" s="3">
        <v>46000</v>
      </c>
      <c r="E4" s="5">
        <v>99.77</v>
      </c>
      <c r="F4" s="4" t="s">
        <v>11</v>
      </c>
      <c r="G4" s="10"/>
    </row>
    <row r="5" spans="1:7" x14ac:dyDescent="0.35">
      <c r="A5" s="1" t="s">
        <v>13</v>
      </c>
      <c r="B5" s="1" t="s">
        <v>12</v>
      </c>
      <c r="C5" s="2">
        <v>3198</v>
      </c>
      <c r="D5" s="3">
        <v>46038</v>
      </c>
      <c r="E5" s="5">
        <f>16162.69/Table1[[#This Row],[Quantità]]</f>
        <v>5.0539993746091305</v>
      </c>
      <c r="F5" s="4" t="s">
        <v>11</v>
      </c>
      <c r="G5" s="10"/>
    </row>
    <row r="10" spans="1:7" x14ac:dyDescent="0.35">
      <c r="F10" s="6"/>
    </row>
  </sheetData>
  <conditionalFormatting sqref="B2:B5">
    <cfRule type="containsText" dxfId="7" priority="18" stopIfTrue="1" operator="containsText" text="BTP">
      <formula>NOT(ISERROR(SEARCH("BTP",B2)))</formula>
    </cfRule>
    <cfRule type="expression" dxfId="6" priority="19" stopIfTrue="1">
      <formula>IF(AND(ISNUMBER(SEARCH("H2O", B2)), ISNUMBER(SEARCH("SP", B2))), 1,0)</formula>
    </cfRule>
  </conditionalFormatting>
  <conditionalFormatting sqref="B5">
    <cfRule type="containsText" dxfId="5" priority="1" stopIfTrue="1" operator="containsText" text="BTP">
      <formula>NOT(ISERROR(SEARCH("BTP",B5)))</formula>
    </cfRule>
    <cfRule type="expression" dxfId="4" priority="2" stopIfTrue="1">
      <formula>IF(AND(ISNUMBER(SEARCH("H2O", B5)), ISNUMBER(SEARCH("SP", B5))), 1,0)</formula>
    </cfRule>
  </conditionalFormatting>
  <conditionalFormatting sqref="C2:C4">
    <cfRule type="containsBlanks" dxfId="3" priority="16">
      <formula>LEN(TRIM(C2))=0</formula>
    </cfRule>
  </conditionalFormatting>
  <conditionalFormatting sqref="F2:F5">
    <cfRule type="containsText" dxfId="2" priority="3" operator="containsText" text="Vendita">
      <formula>NOT(ISERROR(SEARCH("Vendita",F2)))</formula>
    </cfRule>
    <cfRule type="containsText" dxfId="1" priority="4" operator="containsText" text="Acquisto">
      <formula>NOT(ISERROR(SEARCH("Acquisto",F2)))</formula>
    </cfRule>
  </conditionalFormatting>
  <dataValidations disablePrompts="1" count="1">
    <dataValidation type="list" allowBlank="1" showInputMessage="1" showErrorMessage="1" sqref="F2:F5" xr:uid="{786B1B08-543B-41BE-8266-499A04655516}">
      <formula1>"Acquisto,Vendita,-"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2026-02-04T11:49:54Z</dcterms:modified>
</cp:coreProperties>
</file>