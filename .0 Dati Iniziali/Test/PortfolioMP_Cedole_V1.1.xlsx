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C71B347D-DDC3-4E5F-8DE1-88910FCA70B7}" xr6:coauthVersionLast="47" xr6:coauthVersionMax="47" xr10:uidLastSave="{00000000-0000-0000-0000-000000000000}"/>
  <bookViews>
    <workbookView xWindow="57480" yWindow="-120" windowWidth="29040" windowHeight="18240" xr2:uid="{9D257F40-C2B9-4C7A-9E02-266CD7C5EA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3" i="1" l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</calcChain>
</file>

<file path=xl/sharedStrings.xml><?xml version="1.0" encoding="utf-8"?>
<sst xmlns="http://schemas.openxmlformats.org/spreadsheetml/2006/main" count="71" uniqueCount="8">
  <si>
    <t>ISIN</t>
  </si>
  <si>
    <t>Valore Cedola (EUR)</t>
  </si>
  <si>
    <t>Data Flusso</t>
  </si>
  <si>
    <t>Descrizione Titolo</t>
  </si>
  <si>
    <t>Fees</t>
  </si>
  <si>
    <t>Cedole</t>
  </si>
  <si>
    <t>LU0345361124</t>
  </si>
  <si>
    <t>FID ASIA AGGR AC 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</si>
</sst>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8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17">
    <dxf>
      <font>
        <b/>
        <i val="0"/>
        <color theme="0"/>
      </font>
      <fill>
        <patternFill>
          <bgColor theme="6" tint="0.39994506668294322"/>
        </patternFill>
      </fill>
    </dxf>
    <dxf>
      <font>
        <b/>
        <i val="0"/>
      </font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ont>
        <b/>
        <i val="0"/>
        <color rgb="FFFF0000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9D8E9-3BF4-437C-A8E2-D89965693A86}">
  <dimension ref="A1:E23"/>
  <sheetViews>
    <sheetView showGridLines="0" tabSelected="1" workbookViewId="0">
      <selection activeCell="B2" sqref="B2:B23"/>
    </sheetView>
  </sheetViews>
  <sheetFormatPr defaultRowHeight="14.5" x14ac:dyDescent="0.35"/>
  <cols>
    <col min="1" max="1" width="13.08984375" bestFit="1" customWidth="1"/>
    <col min="2" max="2" width="17.6328125" bestFit="1" customWidth="1"/>
    <col min="3" max="3" width="14.26953125" customWidth="1"/>
    <col min="4" max="4" width="25.1796875" customWidth="1"/>
    <col min="5" max="5" width="10.54296875" customWidth="1"/>
  </cols>
  <sheetData>
    <row r="1" spans="1:5" x14ac:dyDescent="0.3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</row>
    <row r="2" spans="1:5" x14ac:dyDescent="0.35">
      <c r="A2" s="1" t="s">
        <v>6</v>
      </c>
      <c r="B2" s="4">
        <v>25</v>
      </c>
      <c r="C2" s="5">
        <v>45383</v>
      </c>
      <c r="D2" s="1" t="s">
        <v>7</v>
      </c>
      <c r="E2" s="6" t="s">
        <v>5</v>
      </c>
    </row>
    <row r="3" spans="1:5" x14ac:dyDescent="0.35">
      <c r="A3" s="1" t="s">
        <v>6</v>
      </c>
      <c r="B3" s="4">
        <v>25</v>
      </c>
      <c r="C3" s="5">
        <f>EOMONTH(C2,1)</f>
        <v>45443</v>
      </c>
      <c r="D3" s="1" t="s">
        <v>7</v>
      </c>
      <c r="E3" s="6" t="s">
        <v>5</v>
      </c>
    </row>
    <row r="4" spans="1:5" x14ac:dyDescent="0.35">
      <c r="A4" s="1" t="s">
        <v>6</v>
      </c>
      <c r="B4" s="4">
        <v>25</v>
      </c>
      <c r="C4" s="5">
        <f t="shared" ref="C4:C23" si="0">EOMONTH(C3,1)</f>
        <v>45473</v>
      </c>
      <c r="D4" s="1" t="s">
        <v>7</v>
      </c>
      <c r="E4" s="6" t="s">
        <v>5</v>
      </c>
    </row>
    <row r="5" spans="1:5" x14ac:dyDescent="0.35">
      <c r="A5" s="1" t="s">
        <v>6</v>
      </c>
      <c r="B5" s="4">
        <v>25</v>
      </c>
      <c r="C5" s="5">
        <f t="shared" si="0"/>
        <v>45504</v>
      </c>
      <c r="D5" s="1" t="s">
        <v>7</v>
      </c>
      <c r="E5" s="6" t="s">
        <v>5</v>
      </c>
    </row>
    <row r="6" spans="1:5" x14ac:dyDescent="0.35">
      <c r="A6" s="1" t="s">
        <v>6</v>
      </c>
      <c r="B6" s="4">
        <v>25</v>
      </c>
      <c r="C6" s="5">
        <f t="shared" si="0"/>
        <v>45535</v>
      </c>
      <c r="D6" s="1" t="s">
        <v>7</v>
      </c>
      <c r="E6" s="6" t="s">
        <v>5</v>
      </c>
    </row>
    <row r="7" spans="1:5" x14ac:dyDescent="0.35">
      <c r="A7" s="1" t="s">
        <v>6</v>
      </c>
      <c r="B7" s="4">
        <v>25</v>
      </c>
      <c r="C7" s="5">
        <f t="shared" si="0"/>
        <v>45565</v>
      </c>
      <c r="D7" s="1" t="s">
        <v>7</v>
      </c>
      <c r="E7" s="6" t="s">
        <v>5</v>
      </c>
    </row>
    <row r="8" spans="1:5" x14ac:dyDescent="0.35">
      <c r="A8" s="1" t="s">
        <v>6</v>
      </c>
      <c r="B8" s="4">
        <v>25</v>
      </c>
      <c r="C8" s="5">
        <f t="shared" si="0"/>
        <v>45596</v>
      </c>
      <c r="D8" s="1" t="s">
        <v>7</v>
      </c>
      <c r="E8" s="6" t="s">
        <v>5</v>
      </c>
    </row>
    <row r="9" spans="1:5" x14ac:dyDescent="0.35">
      <c r="A9" s="1" t="s">
        <v>6</v>
      </c>
      <c r="B9" s="4">
        <v>25</v>
      </c>
      <c r="C9" s="5">
        <f t="shared" si="0"/>
        <v>45626</v>
      </c>
      <c r="D9" s="1" t="s">
        <v>7</v>
      </c>
      <c r="E9" s="6" t="s">
        <v>5</v>
      </c>
    </row>
    <row r="10" spans="1:5" x14ac:dyDescent="0.35">
      <c r="A10" s="1" t="s">
        <v>6</v>
      </c>
      <c r="B10" s="4">
        <v>25</v>
      </c>
      <c r="C10" s="5">
        <f t="shared" si="0"/>
        <v>45657</v>
      </c>
      <c r="D10" s="1" t="s">
        <v>7</v>
      </c>
      <c r="E10" s="6" t="s">
        <v>5</v>
      </c>
    </row>
    <row r="11" spans="1:5" x14ac:dyDescent="0.35">
      <c r="A11" s="1" t="s">
        <v>6</v>
      </c>
      <c r="B11" s="4">
        <v>25</v>
      </c>
      <c r="C11" s="5">
        <f t="shared" si="0"/>
        <v>45688</v>
      </c>
      <c r="D11" s="1" t="s">
        <v>7</v>
      </c>
      <c r="E11" s="6" t="s">
        <v>5</v>
      </c>
    </row>
    <row r="12" spans="1:5" x14ac:dyDescent="0.35">
      <c r="A12" s="1" t="s">
        <v>6</v>
      </c>
      <c r="B12" s="4">
        <v>25</v>
      </c>
      <c r="C12" s="5">
        <f t="shared" si="0"/>
        <v>45716</v>
      </c>
      <c r="D12" s="1" t="s">
        <v>7</v>
      </c>
      <c r="E12" s="6" t="s">
        <v>5</v>
      </c>
    </row>
    <row r="13" spans="1:5" x14ac:dyDescent="0.35">
      <c r="A13" s="1" t="s">
        <v>6</v>
      </c>
      <c r="B13" s="4">
        <v>25</v>
      </c>
      <c r="C13" s="5">
        <f t="shared" si="0"/>
        <v>45747</v>
      </c>
      <c r="D13" s="1" t="s">
        <v>7</v>
      </c>
      <c r="E13" s="6" t="s">
        <v>5</v>
      </c>
    </row>
    <row r="14" spans="1:5" x14ac:dyDescent="0.35">
      <c r="A14" s="1" t="s">
        <v>6</v>
      </c>
      <c r="B14" s="4">
        <v>25</v>
      </c>
      <c r="C14" s="5">
        <f t="shared" si="0"/>
        <v>45777</v>
      </c>
      <c r="D14" s="1" t="s">
        <v>7</v>
      </c>
      <c r="E14" s="6" t="s">
        <v>5</v>
      </c>
    </row>
    <row r="15" spans="1:5" x14ac:dyDescent="0.35">
      <c r="A15" s="1" t="s">
        <v>6</v>
      </c>
      <c r="B15" s="4">
        <v>25</v>
      </c>
      <c r="C15" s="5">
        <f t="shared" si="0"/>
        <v>45808</v>
      </c>
      <c r="D15" s="1" t="s">
        <v>7</v>
      </c>
      <c r="E15" s="6" t="s">
        <v>5</v>
      </c>
    </row>
    <row r="16" spans="1:5" x14ac:dyDescent="0.35">
      <c r="A16" s="1" t="s">
        <v>6</v>
      </c>
      <c r="B16" s="4">
        <v>25</v>
      </c>
      <c r="C16" s="5">
        <f t="shared" si="0"/>
        <v>45838</v>
      </c>
      <c r="D16" s="1" t="s">
        <v>7</v>
      </c>
      <c r="E16" s="6" t="s">
        <v>5</v>
      </c>
    </row>
    <row r="17" spans="1:5" x14ac:dyDescent="0.35">
      <c r="A17" s="1" t="s">
        <v>6</v>
      </c>
      <c r="B17" s="4">
        <v>25</v>
      </c>
      <c r="C17" s="5">
        <f t="shared" si="0"/>
        <v>45869</v>
      </c>
      <c r="D17" s="1" t="s">
        <v>7</v>
      </c>
      <c r="E17" s="6" t="s">
        <v>5</v>
      </c>
    </row>
    <row r="18" spans="1:5" x14ac:dyDescent="0.35">
      <c r="A18" s="1" t="s">
        <v>6</v>
      </c>
      <c r="B18" s="4">
        <v>25</v>
      </c>
      <c r="C18" s="5">
        <f t="shared" si="0"/>
        <v>45900</v>
      </c>
      <c r="D18" s="1" t="s">
        <v>7</v>
      </c>
      <c r="E18" s="6" t="s">
        <v>5</v>
      </c>
    </row>
    <row r="19" spans="1:5" x14ac:dyDescent="0.35">
      <c r="A19" s="1" t="s">
        <v>6</v>
      </c>
      <c r="B19" s="4">
        <v>25</v>
      </c>
      <c r="C19" s="5">
        <f t="shared" si="0"/>
        <v>45930</v>
      </c>
      <c r="D19" s="1" t="s">
        <v>7</v>
      </c>
      <c r="E19" s="6" t="s">
        <v>5</v>
      </c>
    </row>
    <row r="20" spans="1:5" x14ac:dyDescent="0.35">
      <c r="A20" s="1" t="s">
        <v>6</v>
      </c>
      <c r="B20" s="4">
        <v>25</v>
      </c>
      <c r="C20" s="5">
        <f t="shared" si="0"/>
        <v>45961</v>
      </c>
      <c r="D20" s="1" t="s">
        <v>7</v>
      </c>
      <c r="E20" s="6" t="s">
        <v>5</v>
      </c>
    </row>
    <row r="21" spans="1:5" x14ac:dyDescent="0.35">
      <c r="A21" s="1" t="s">
        <v>6</v>
      </c>
      <c r="B21" s="4">
        <v>25</v>
      </c>
      <c r="C21" s="5">
        <f t="shared" si="0"/>
        <v>45991</v>
      </c>
      <c r="D21" s="1" t="s">
        <v>7</v>
      </c>
      <c r="E21" s="6" t="s">
        <v>5</v>
      </c>
    </row>
    <row r="22" spans="1:5" x14ac:dyDescent="0.35">
      <c r="A22" s="1" t="s">
        <v>6</v>
      </c>
      <c r="B22" s="4">
        <v>25</v>
      </c>
      <c r="C22" s="5">
        <f t="shared" si="0"/>
        <v>46022</v>
      </c>
      <c r="D22" s="1" t="s">
        <v>7</v>
      </c>
      <c r="E22" s="6" t="s">
        <v>5</v>
      </c>
    </row>
    <row r="23" spans="1:5" x14ac:dyDescent="0.35">
      <c r="A23" s="1" t="s">
        <v>6</v>
      </c>
      <c r="B23" s="4">
        <v>25</v>
      </c>
      <c r="C23" s="5">
        <f t="shared" si="0"/>
        <v>46053</v>
      </c>
      <c r="D23" s="1" t="s">
        <v>7</v>
      </c>
      <c r="E23" s="6" t="s">
        <v>5</v>
      </c>
    </row>
  </sheetData>
  <conditionalFormatting sqref="D2:D23">
    <cfRule type="containsText" dxfId="16" priority="13" operator="containsText" text="NEW">
      <formula>NOT(ISERROR(SEARCH("NEW",D2)))</formula>
    </cfRule>
    <cfRule type="containsText" dxfId="15" priority="14" operator="containsText" text="Multi-Asset">
      <formula>NOT(ISERROR(SEARCH("Multi-Asset",D2)))</formula>
    </cfRule>
    <cfRule type="containsText" dxfId="14" priority="15" operator="containsText" text="Altro">
      <formula>NOT(ISERROR(SEARCH("Altro",D2)))</formula>
    </cfRule>
    <cfRule type="containsText" dxfId="13" priority="16" operator="containsText" text="Obbligazionario">
      <formula>NOT(ISERROR(SEARCH("Obbligazionario",D2)))</formula>
    </cfRule>
    <cfRule type="containsText" dxfId="12" priority="17" operator="containsText" text="Obblig.">
      <formula>NOT(ISERROR(SEARCH("Obblig.",D2)))</formula>
    </cfRule>
    <cfRule type="containsText" dxfId="11" priority="18" operator="containsText" text="ETF">
      <formula>NOT(ISERROR(SEARCH("ETF",D2)))</formula>
    </cfRule>
    <cfRule type="containsText" dxfId="10" priority="19" operator="containsText" text="Azionario">
      <formula>NOT(ISERROR(SEARCH("Azionario",D2)))</formula>
    </cfRule>
    <cfRule type="containsText" dxfId="9" priority="20" operator="containsText" text="Liquidità">
      <formula>NOT(ISERROR(SEARCH("Liquidità",D2)))</formula>
    </cfRule>
    <cfRule type="containsText" dxfId="8" priority="21" operator="containsText" text="Bilanciato">
      <formula>NOT(ISERROR(SEARCH("Bilanciato",D2)))</formula>
    </cfRule>
    <cfRule type="containsText" dxfId="7" priority="22" operator="containsText" text="Certif">
      <formula>NOT(ISERROR(SEARCH("Certif",D2)))</formula>
    </cfRule>
    <cfRule type="containsText" dxfId="6" priority="23" stopIfTrue="1" operator="containsText" text="BTP">
      <formula>NOT(ISERROR(SEARCH("BTP",D2)))</formula>
    </cfRule>
    <cfRule type="expression" dxfId="5" priority="24" stopIfTrue="1">
      <formula>IF(AND(ISNUMBER(SEARCH("H2O", D2)), ISNUMBER(SEARCH("SP", D2))), 1,0)</formula>
    </cfRule>
  </conditionalFormatting>
  <conditionalFormatting sqref="E2:E23">
    <cfRule type="containsText" dxfId="4" priority="27" operator="containsText" text="FEE">
      <formula>NOT(ISERROR(SEARCH("FEE",E2)))</formula>
    </cfRule>
    <cfRule type="containsText" dxfId="3" priority="28" operator="containsText" text="DIIVIDENDI">
      <formula>NOT(ISERROR(SEARCH("DIIVIDENDI",E2)))</formula>
    </cfRule>
    <cfRule type="containsText" dxfId="2" priority="29" operator="containsText" text="CEDOLE">
      <formula>NOT(ISERROR(SEARCH("CEDOLE",E2)))</formula>
    </cfRule>
    <cfRule type="containsText" dxfId="1" priority="30" operator="containsText" text="ACQUISTO">
      <formula>NOT(ISERROR(SEARCH("ACQUISTO",E2)))</formula>
    </cfRule>
    <cfRule type="containsText" dxfId="0" priority="31" operator="containsText" text="VENDITA">
      <formula>NOT(ISERROR(SEARCH("VENDITA",E2)))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2026-01-31T11:55:24Z</dcterms:created>
  <dcterms:modified xsi:type="dcterms:W3CDTF">2026-02-12T14:33:07Z</dcterms:modified>
</cp:coreProperties>
</file>