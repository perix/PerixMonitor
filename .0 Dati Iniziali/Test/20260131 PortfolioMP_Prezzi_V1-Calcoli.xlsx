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4769FABB-614E-4038-AAA1-F7EFBF4BA9C5}" xr6:coauthVersionLast="47" xr6:coauthVersionMax="47" xr10:uidLastSave="{00000000-0000-0000-0000-000000000000}"/>
  <bookViews>
    <workbookView xWindow="-80" yWindow="520" windowWidth="38560" windowHeight="2116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Q31" i="1"/>
  <c r="R29" i="1"/>
  <c r="Q28" i="1"/>
  <c r="Q65" i="1"/>
  <c r="O44" i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Q42" i="1"/>
  <c r="Q38" i="1"/>
  <c r="O30" i="1"/>
  <c r="O32" i="1" s="1"/>
  <c r="O33" i="1" s="1"/>
  <c r="O34" i="1" s="1"/>
  <c r="O35" i="1" s="1"/>
  <c r="O37" i="1" s="1"/>
  <c r="Q27" i="1"/>
  <c r="Q29" i="1" l="1"/>
  <c r="R30" i="1"/>
  <c r="Q66" i="1"/>
  <c r="R65" i="1"/>
  <c r="Q30" i="1" l="1"/>
  <c r="R32" i="1"/>
  <c r="Q23" i="1"/>
  <c r="Q22" i="1"/>
  <c r="Q17" i="1"/>
  <c r="Q18" i="1"/>
  <c r="S4" i="1"/>
  <c r="T4" i="1" s="1"/>
  <c r="Q8" i="1"/>
  <c r="I3" i="1"/>
  <c r="Q10" i="1"/>
  <c r="Q2" i="1"/>
  <c r="Q4" i="1"/>
  <c r="R10" i="1"/>
  <c r="R4" i="1"/>
  <c r="S10" i="1"/>
  <c r="T10" i="1" s="1"/>
  <c r="I2" i="1"/>
  <c r="R33" i="1" l="1"/>
  <c r="Q32" i="1"/>
  <c r="I1" i="1"/>
  <c r="U10" i="1"/>
  <c r="P11" i="1"/>
  <c r="R23" i="1"/>
  <c r="Q24" i="1"/>
  <c r="P5" i="1"/>
  <c r="U4" i="1"/>
  <c r="Q33" i="1" l="1"/>
  <c r="R34" i="1"/>
  <c r="R35" i="1" l="1"/>
  <c r="Q34" i="1"/>
  <c r="Q35" i="1" l="1"/>
  <c r="R37" i="1"/>
  <c r="Q37" i="1" s="1"/>
  <c r="R38" i="1" l="1"/>
  <c r="Q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976E9529-6E14-4604-A2B2-A30D35E9BEE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<sst xmlns="http://schemas.openxmlformats.org/spreadsheetml/2006/main" count="151" uniqueCount="63">
  <si>
    <t>Descrizione Titolo</t>
  </si>
  <si>
    <t>ISIN</t>
  </si>
  <si>
    <t>Quantità</t>
  </si>
  <si>
    <t>Divisa</t>
  </si>
  <si>
    <t>Prezzo Carico (EUR)</t>
  </si>
  <si>
    <t>EUR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</si>
  <si>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</si>
  <si>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</si>
  <si>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</si>
  <si>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</si>
  <si>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</si>
  <si>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</si>
  <si>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</si>
  <si>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</si>
  <si>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</si>
  <si>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</si>
  <si>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</si>
  <si>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</si>
  <si>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</si>
  <si>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</si>
  <si>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</si>
  <si>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</si>
  <si>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</si>
  <si>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</si>
  <si>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</si>
  <si>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</si>
  <si>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</si>
  <si>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</si>
  <si>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</si>
  <si>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</si>
  <si>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</si>
  <si>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</si>
  <si>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</si>
  <si>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</si>
  <si>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</si>
  <si>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</si>
  <si>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</si>
  <si>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</si>
  <si>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</si>
  <si>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</si>
  <si>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</si>
  <si>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</si>
  <si>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</si>
  <si>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</si>
  <si>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</si>
  <si>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</si>
  <si>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</si>
  <si>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</si>
  <si>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</si>
  <si>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</si>
  <si>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</si>
  <si>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</si>
  <si>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</si>
  <si>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Data</t>
  </si>
  <si>
    <t>Descrizione Asset</t>
  </si>
  <si>
    <t>Delta gg</t>
  </si>
  <si>
    <t>Delta Prezzo</t>
  </si>
  <si>
    <t>P&amp;L</t>
  </si>
  <si>
    <t>Ultima Variazione</t>
  </si>
  <si>
    <t>Flussi di Cassa</t>
  </si>
  <si>
    <t>Data (acquisto/vendita)</t>
  </si>
  <si>
    <t>Prezzo Operazione (EUR)</t>
  </si>
  <si>
    <t>vendita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</si>
</sst>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  <numFmt numFmtId="167" formatCode="&quot;MWR&quot;\ 0.0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166" fontId="0" fillId="0" borderId="1" xfId="0" applyNumberFormat="1" applyBorder="1" applyAlignment="1">
      <alignment horizontal="center"/>
    </xf>
    <xf numFmtId="8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8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67" fontId="4" fillId="5" borderId="1" xfId="0" applyNumberFormat="1" applyFont="1" applyFill="1" applyBorder="1"/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14" fontId="0" fillId="8" borderId="1" xfId="0" applyNumberFormat="1" applyFill="1" applyBorder="1" applyAlignment="1">
      <alignment horizontal="center"/>
    </xf>
    <xf numFmtId="14" fontId="0" fillId="9" borderId="3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right"/>
    </xf>
    <xf numFmtId="8" fontId="4" fillId="5" borderId="1" xfId="0" applyNumberFormat="1" applyFont="1" applyFill="1" applyBorder="1"/>
    <xf numFmtId="166" fontId="0" fillId="0" borderId="1" xfId="0" applyNumberFormat="1" applyBorder="1"/>
    <xf numFmtId="8" fontId="4" fillId="0" borderId="0" xfId="0" applyNumberFormat="1" applyFont="1"/>
    <xf numFmtId="0" fontId="0" fillId="0" borderId="1" xfId="0" applyFont="1" applyBorder="1"/>
    <xf numFmtId="0" fontId="4" fillId="0" borderId="0" xfId="0" applyFont="1" applyBorder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83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4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G3" totalsRowShown="0" headerRowDxfId="82" dataDxfId="81" tableBorderDxfId="80">
  <autoFilter ref="A1:G3" xr:uid="{A644CB40-5D0E-4EC7-B73F-375AD248FD75}"/>
  <tableColumns count="7">
    <tableColumn id="1" xr3:uid="{13244BAA-6E4E-45A8-BE73-4D4764516016}" name="Descrizione Titolo" dataDxfId="79" totalsRowDxfId="78"/>
    <tableColumn id="2" xr3:uid="{F51F4DA1-A077-4914-80B4-AD8AFEA9ADAD}" name="ISIN" dataDxfId="77" totalsRowDxfId="76"/>
    <tableColumn id="3" xr3:uid="{C2133E33-0C58-4FAA-8AA3-38DFFFDB3BB4}" name="Quantità" dataDxfId="75" totalsRowDxfId="74"/>
    <tableColumn id="4" xr3:uid="{D1F0CC62-5D59-4DA0-8EAB-4BB138EF8A47}" name="Divisa" dataDxfId="73" totalsRowDxfId="72"/>
    <tableColumn id="5" xr3:uid="{C9B3D54A-E0B9-4828-98B2-9CC4D10E4F29}" name="Prezzo Carico (EUR)" dataDxfId="71" totalsRowDxfId="70"/>
    <tableColumn id="6" xr3:uid="{D840105F-A0FF-48B3-B6D2-7C8E4E15D7F8}" name="Data" dataDxfId="69" totalsRowDxfId="68"/>
    <tableColumn id="9" xr3:uid="{CB075AA3-AE95-48F4-96AF-9F28838DD478}" name="Prezzo Corrente (EUR)" dataDxfId="67" totalsRowDxfId="6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U66"/>
  <sheetViews>
    <sheetView showGridLines="0" tabSelected="1" zoomScale="85" zoomScaleNormal="85" workbookViewId="0">
      <selection activeCell="R29" sqref="R29"/>
    </sheetView>
  </sheetViews>
  <sheetFormatPr defaultRowHeight="14.5" x14ac:dyDescent="0.35"/>
  <cols>
    <col min="1" max="1" width="21.26953125" customWidth="1"/>
    <col min="2" max="2" width="13.453125" customWidth="1"/>
    <col min="3" max="3" width="9.36328125" customWidth="1"/>
    <col min="4" max="4" width="7.36328125" customWidth="1"/>
    <col min="5" max="5" width="18.36328125" customWidth="1"/>
    <col min="6" max="6" width="13.6328125" style="3" customWidth="1"/>
    <col min="7" max="7" width="23.6328125" bestFit="1" customWidth="1"/>
    <col min="8" max="8" width="3.90625" customWidth="1"/>
    <col min="9" max="9" width="12.6328125" bestFit="1" customWidth="1"/>
    <col min="10" max="12" width="2.453125" customWidth="1"/>
    <col min="13" max="13" width="13.08984375" bestFit="1" customWidth="1"/>
    <col min="14" max="14" width="20.6328125" bestFit="1" customWidth="1"/>
    <col min="15" max="15" width="10.81640625" bestFit="1" customWidth="1"/>
    <col min="16" max="16" width="20.81640625" bestFit="1" customWidth="1"/>
    <col min="17" max="17" width="21.36328125" bestFit="1" customWidth="1"/>
    <col min="18" max="18" width="10.81640625" bestFit="1" customWidth="1"/>
    <col min="19" max="19" width="11" bestFit="1" customWidth="1"/>
    <col min="20" max="20" width="14.90625" customWidth="1"/>
    <col min="21" max="21" width="12.6328125" customWidth="1"/>
    <col min="22" max="22" width="14.6328125" customWidth="1"/>
  </cols>
  <sheetData>
    <row r="1" spans="1:21" ht="15" thickBot="1" x14ac:dyDescent="0.4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5" t="s">
        <v>53</v>
      </c>
      <c r="G1" s="25" t="s">
        <v>6</v>
      </c>
      <c r="I1" s="15">
        <f>SUM(I2:I3)</f>
        <v>31754.263300000002</v>
      </c>
      <c r="J1" s="14" t="s">
        <v>52</v>
      </c>
      <c r="M1" s="24" t="s">
        <v>1</v>
      </c>
      <c r="N1" s="23" t="s">
        <v>54</v>
      </c>
      <c r="O1" s="24" t="s">
        <v>53</v>
      </c>
      <c r="P1" s="24" t="s">
        <v>6</v>
      </c>
      <c r="Q1" s="26" t="s">
        <v>59</v>
      </c>
      <c r="R1" s="26" t="s">
        <v>55</v>
      </c>
      <c r="S1" s="26" t="s">
        <v>56</v>
      </c>
      <c r="T1" s="26" t="s">
        <v>58</v>
      </c>
      <c r="U1" s="26" t="s">
        <v>57</v>
      </c>
    </row>
    <row r="2" spans="1:21" x14ac:dyDescent="0.35">
      <c r="A2" s="16" t="s">
        <v>8</v>
      </c>
      <c r="B2" s="17" t="s">
        <v>7</v>
      </c>
      <c r="C2" s="18">
        <v>786.29</v>
      </c>
      <c r="D2" s="19" t="s">
        <v>5</v>
      </c>
      <c r="E2" s="20">
        <v>31.14</v>
      </c>
      <c r="F2" s="13">
        <v>46053</v>
      </c>
      <c r="G2" s="21">
        <v>33.770000000000003</v>
      </c>
      <c r="I2" s="43">
        <f t="shared" ref="I2:I3" si="0">+C2*G2</f>
        <v>26553.013300000002</v>
      </c>
      <c r="K2" s="22"/>
      <c r="M2" s="1" t="s">
        <v>7</v>
      </c>
      <c r="N2" s="1" t="s">
        <v>8</v>
      </c>
      <c r="O2" s="2">
        <v>45355</v>
      </c>
      <c r="P2" s="27">
        <v>28.88</v>
      </c>
      <c r="Q2" s="27">
        <f>-P2*$C$2</f>
        <v>-22708.055199999999</v>
      </c>
      <c r="R2" s="28"/>
      <c r="S2" s="29"/>
      <c r="T2" s="30"/>
      <c r="U2" s="1"/>
    </row>
    <row r="3" spans="1:21" x14ac:dyDescent="0.35">
      <c r="A3" s="16" t="s">
        <v>13</v>
      </c>
      <c r="B3" s="17" t="s">
        <v>35</v>
      </c>
      <c r="C3" s="18">
        <v>570</v>
      </c>
      <c r="D3" s="19" t="s">
        <v>5</v>
      </c>
      <c r="E3" s="20">
        <v>8.8187999999999995</v>
      </c>
      <c r="F3" s="13">
        <v>46053</v>
      </c>
      <c r="G3" s="21">
        <v>9.125</v>
      </c>
      <c r="I3" s="22">
        <f t="shared" si="0"/>
        <v>5201.25</v>
      </c>
      <c r="K3" s="22"/>
      <c r="M3" s="1" t="s">
        <v>7</v>
      </c>
      <c r="N3" s="1" t="s">
        <v>8</v>
      </c>
      <c r="O3" s="2">
        <v>46023</v>
      </c>
      <c r="P3" s="27">
        <v>33.24</v>
      </c>
      <c r="Q3" s="27"/>
      <c r="R3" s="1"/>
      <c r="S3" s="1"/>
      <c r="T3" s="1"/>
      <c r="U3" s="1"/>
    </row>
    <row r="4" spans="1:21" x14ac:dyDescent="0.35">
      <c r="M4" s="1" t="s">
        <v>7</v>
      </c>
      <c r="N4" s="1" t="s">
        <v>8</v>
      </c>
      <c r="O4" s="13">
        <v>46053</v>
      </c>
      <c r="P4" s="27">
        <v>33.770000000000003</v>
      </c>
      <c r="Q4" s="41">
        <f>+P4*$C$2</f>
        <v>26553.013300000002</v>
      </c>
      <c r="R4" s="28">
        <f>DATEDIF(O3,F2,"D")</f>
        <v>30</v>
      </c>
      <c r="S4" s="29">
        <f>+(P4-P3)</f>
        <v>0.53000000000000114</v>
      </c>
      <c r="T4" s="31">
        <f>+S4/P3</f>
        <v>1.5944645006016882E-2</v>
      </c>
      <c r="U4" s="41">
        <f>+Q4+Q2</f>
        <v>3844.9581000000035</v>
      </c>
    </row>
    <row r="5" spans="1:21" x14ac:dyDescent="0.35">
      <c r="P5" s="32">
        <f>XIRR(Q2:Q4,O2:O4)</f>
        <v>8.5235920548439023E-2</v>
      </c>
    </row>
    <row r="7" spans="1:21" x14ac:dyDescent="0.35">
      <c r="M7" s="24" t="s">
        <v>1</v>
      </c>
      <c r="N7" s="23" t="s">
        <v>54</v>
      </c>
      <c r="O7" s="24" t="s">
        <v>53</v>
      </c>
      <c r="P7" s="24" t="s">
        <v>6</v>
      </c>
      <c r="Q7" s="26" t="s">
        <v>59</v>
      </c>
      <c r="R7" s="26" t="s">
        <v>55</v>
      </c>
      <c r="S7" s="26" t="s">
        <v>56</v>
      </c>
      <c r="T7" s="26" t="s">
        <v>58</v>
      </c>
      <c r="U7" s="26" t="s">
        <v>57</v>
      </c>
    </row>
    <row r="8" spans="1:21" x14ac:dyDescent="0.35">
      <c r="M8" s="1" t="s">
        <v>35</v>
      </c>
      <c r="N8" s="1" t="s">
        <v>13</v>
      </c>
      <c r="O8" s="2">
        <v>45702</v>
      </c>
      <c r="P8" s="27">
        <v>8.8187540000000002</v>
      </c>
      <c r="Q8" s="27">
        <f>-P8*$C$3</f>
        <v>-5026.6897799999997</v>
      </c>
      <c r="R8" s="28"/>
      <c r="S8" s="29"/>
      <c r="T8" s="30"/>
      <c r="U8" s="1"/>
    </row>
    <row r="9" spans="1:21" x14ac:dyDescent="0.35">
      <c r="M9" s="1" t="s">
        <v>35</v>
      </c>
      <c r="N9" s="1" t="s">
        <v>13</v>
      </c>
      <c r="O9" s="2">
        <v>46023</v>
      </c>
      <c r="P9" s="27">
        <v>9.06</v>
      </c>
      <c r="Q9" s="27"/>
      <c r="R9" s="1"/>
      <c r="S9" s="1"/>
      <c r="T9" s="1"/>
      <c r="U9" s="1"/>
    </row>
    <row r="10" spans="1:21" x14ac:dyDescent="0.35">
      <c r="M10" s="1" t="s">
        <v>35</v>
      </c>
      <c r="N10" s="1" t="s">
        <v>13</v>
      </c>
      <c r="O10" s="13">
        <v>46053</v>
      </c>
      <c r="P10" s="27">
        <v>9.125</v>
      </c>
      <c r="Q10" s="41">
        <f>+P10*$C$3</f>
        <v>5201.25</v>
      </c>
      <c r="R10" s="28">
        <f>DATEDIF(O9,F3,"D")</f>
        <v>30</v>
      </c>
      <c r="S10" s="29">
        <f>+(G3-P9)</f>
        <v>6.4999999999999503E-2</v>
      </c>
      <c r="T10" s="31">
        <f>+S10/P9</f>
        <v>7.1743929359822847E-3</v>
      </c>
      <c r="U10" s="41">
        <f>+Q10+Q8</f>
        <v>174.5602200000003</v>
      </c>
    </row>
    <row r="11" spans="1:21" x14ac:dyDescent="0.35">
      <c r="P11" s="32">
        <f>XIRR(Q8:Q10,O8:O10)</f>
        <v>3.6136522889137268E-2</v>
      </c>
    </row>
    <row r="16" spans="1:21" ht="15" thickBot="1" x14ac:dyDescent="0.4">
      <c r="M16" s="33" t="s">
        <v>1</v>
      </c>
      <c r="N16" s="23" t="s">
        <v>54</v>
      </c>
      <c r="O16" s="25" t="s">
        <v>2</v>
      </c>
      <c r="P16" s="25" t="s">
        <v>60</v>
      </c>
      <c r="Q16" s="25" t="s">
        <v>61</v>
      </c>
      <c r="R16" s="26" t="s">
        <v>55</v>
      </c>
      <c r="S16" s="26" t="s">
        <v>56</v>
      </c>
      <c r="T16" s="26" t="s">
        <v>58</v>
      </c>
      <c r="U16" s="26" t="s">
        <v>57</v>
      </c>
    </row>
    <row r="17" spans="12:21" x14ac:dyDescent="0.35">
      <c r="M17" s="1" t="s">
        <v>35</v>
      </c>
      <c r="N17" s="35" t="s">
        <v>13</v>
      </c>
      <c r="O17" s="38">
        <v>45323</v>
      </c>
      <c r="P17" s="27">
        <v>7.79</v>
      </c>
      <c r="Q17" s="27">
        <f>-P17*$C$3</f>
        <v>-4440.3</v>
      </c>
    </row>
    <row r="18" spans="12:21" x14ac:dyDescent="0.35">
      <c r="M18" s="1" t="s">
        <v>35</v>
      </c>
      <c r="N18" s="1" t="s">
        <v>13</v>
      </c>
      <c r="O18" s="36">
        <v>45702</v>
      </c>
      <c r="P18" s="27">
        <v>8.8187540000000002</v>
      </c>
      <c r="Q18" s="27">
        <f>-P18*$C$3</f>
        <v>-5026.6897799999997</v>
      </c>
      <c r="R18" s="28"/>
      <c r="S18" s="29"/>
      <c r="T18" s="30"/>
      <c r="U18" s="1"/>
    </row>
    <row r="22" spans="12:21" x14ac:dyDescent="0.35">
      <c r="M22" s="1" t="s">
        <v>35</v>
      </c>
      <c r="N22" s="1" t="s">
        <v>13</v>
      </c>
      <c r="O22" s="36">
        <v>45702</v>
      </c>
      <c r="P22" s="27">
        <v>8.8187540000000002</v>
      </c>
      <c r="Q22" s="27">
        <f>-P22*$C$3</f>
        <v>-5026.6897799999997</v>
      </c>
    </row>
    <row r="23" spans="12:21" x14ac:dyDescent="0.35">
      <c r="L23" s="34" t="s">
        <v>62</v>
      </c>
      <c r="M23" s="1" t="s">
        <v>35</v>
      </c>
      <c r="N23" s="1" t="s">
        <v>13</v>
      </c>
      <c r="O23" s="37">
        <v>45988</v>
      </c>
      <c r="P23" s="27">
        <v>8.94</v>
      </c>
      <c r="Q23" s="27">
        <f>P23*$C$3</f>
        <v>5095.7999999999993</v>
      </c>
      <c r="R23" s="41">
        <f>+Q23+Q22</f>
        <v>69.110219999999572</v>
      </c>
    </row>
    <row r="24" spans="12:21" x14ac:dyDescent="0.35">
      <c r="Q24" s="32">
        <f>XIRR(Q22:Q23,O22:O23)</f>
        <v>1.7579570412635803E-2</v>
      </c>
    </row>
    <row r="26" spans="12:21" x14ac:dyDescent="0.35">
      <c r="M26" s="45" t="s">
        <v>13</v>
      </c>
    </row>
    <row r="27" spans="12:21" x14ac:dyDescent="0.35">
      <c r="M27" s="1" t="s">
        <v>35</v>
      </c>
      <c r="N27" s="1" t="s">
        <v>13</v>
      </c>
      <c r="O27" s="36">
        <v>45702</v>
      </c>
      <c r="P27" s="27">
        <v>8.8187540000000002</v>
      </c>
      <c r="Q27" s="40">
        <f>-P27*$C$3</f>
        <v>-5026.6897799999997</v>
      </c>
    </row>
    <row r="28" spans="12:21" x14ac:dyDescent="0.35">
      <c r="M28" s="1" t="s">
        <v>35</v>
      </c>
      <c r="O28" s="2">
        <v>45746</v>
      </c>
      <c r="Q28" s="39">
        <f>10*R28</f>
        <v>30</v>
      </c>
      <c r="R28" s="47">
        <v>3</v>
      </c>
    </row>
    <row r="29" spans="12:21" x14ac:dyDescent="0.35">
      <c r="M29" s="1" t="s">
        <v>35</v>
      </c>
      <c r="O29" s="2">
        <v>45777</v>
      </c>
      <c r="Q29" s="39">
        <f t="shared" ref="Q29:Q37" si="1">10*R29</f>
        <v>30</v>
      </c>
      <c r="R29">
        <f>+R28</f>
        <v>3</v>
      </c>
    </row>
    <row r="30" spans="12:21" x14ac:dyDescent="0.35">
      <c r="M30" s="1" t="s">
        <v>35</v>
      </c>
      <c r="O30" s="2">
        <f>EOMONTH(O29,1)</f>
        <v>45808</v>
      </c>
      <c r="Q30" s="39">
        <f t="shared" si="1"/>
        <v>30</v>
      </c>
      <c r="R30">
        <f t="shared" ref="R30:R35" si="2">+R29</f>
        <v>3</v>
      </c>
    </row>
    <row r="31" spans="12:21" x14ac:dyDescent="0.35">
      <c r="M31" s="1" t="s">
        <v>35</v>
      </c>
      <c r="O31" s="2">
        <v>45809</v>
      </c>
      <c r="Q31" s="39">
        <f>-50*R31</f>
        <v>-50</v>
      </c>
      <c r="R31" s="46">
        <v>1</v>
      </c>
    </row>
    <row r="32" spans="12:21" x14ac:dyDescent="0.35">
      <c r="M32" s="1" t="s">
        <v>35</v>
      </c>
      <c r="O32" s="2">
        <f>EOMONTH(O30,1)</f>
        <v>45838</v>
      </c>
      <c r="Q32" s="39">
        <f t="shared" si="1"/>
        <v>30</v>
      </c>
      <c r="R32">
        <f>+R30</f>
        <v>3</v>
      </c>
    </row>
    <row r="33" spans="13:18" x14ac:dyDescent="0.35">
      <c r="M33" s="1" t="s">
        <v>35</v>
      </c>
      <c r="O33" s="2">
        <f t="shared" ref="O33:O35" si="3">EOMONTH(O32,1)</f>
        <v>45869</v>
      </c>
      <c r="Q33" s="39">
        <f t="shared" si="1"/>
        <v>30</v>
      </c>
      <c r="R33">
        <f t="shared" si="2"/>
        <v>3</v>
      </c>
    </row>
    <row r="34" spans="13:18" x14ac:dyDescent="0.35">
      <c r="M34" s="1" t="s">
        <v>35</v>
      </c>
      <c r="O34" s="2">
        <f t="shared" si="3"/>
        <v>45900</v>
      </c>
      <c r="Q34" s="39">
        <f t="shared" si="1"/>
        <v>30</v>
      </c>
      <c r="R34">
        <f t="shared" si="2"/>
        <v>3</v>
      </c>
    </row>
    <row r="35" spans="13:18" x14ac:dyDescent="0.35">
      <c r="M35" s="1" t="s">
        <v>35</v>
      </c>
      <c r="O35" s="2">
        <f t="shared" si="3"/>
        <v>45930</v>
      </c>
      <c r="Q35" s="39">
        <f t="shared" si="1"/>
        <v>30</v>
      </c>
      <c r="R35">
        <f t="shared" si="2"/>
        <v>3</v>
      </c>
    </row>
    <row r="36" spans="13:18" x14ac:dyDescent="0.35">
      <c r="M36" s="1" t="s">
        <v>35</v>
      </c>
      <c r="O36" s="2">
        <v>45931</v>
      </c>
      <c r="Q36" s="39">
        <f>-28.95*R36</f>
        <v>-86.85</v>
      </c>
      <c r="R36" s="46">
        <v>3</v>
      </c>
    </row>
    <row r="37" spans="13:18" x14ac:dyDescent="0.35">
      <c r="M37" s="1" t="s">
        <v>35</v>
      </c>
      <c r="O37" s="2">
        <f>EOMONTH(O35,1)</f>
        <v>45961</v>
      </c>
      <c r="Q37" s="39">
        <f t="shared" si="1"/>
        <v>30</v>
      </c>
      <c r="R37">
        <f>+R35</f>
        <v>3</v>
      </c>
    </row>
    <row r="38" spans="13:18" x14ac:dyDescent="0.35">
      <c r="M38" s="1" t="s">
        <v>35</v>
      </c>
      <c r="N38" s="1" t="s">
        <v>13</v>
      </c>
      <c r="O38" s="13">
        <v>46053</v>
      </c>
      <c r="P38" s="42">
        <v>9.125</v>
      </c>
      <c r="Q38" s="40">
        <f>P38*$C$3</f>
        <v>5201.25</v>
      </c>
      <c r="R38" s="41">
        <f>SUM(Q27:Q38)</f>
        <v>277.71021999999994</v>
      </c>
    </row>
    <row r="39" spans="13:18" x14ac:dyDescent="0.35">
      <c r="Q39" s="32">
        <f>XIRR(Q27:Q38,O27:O38)</f>
        <v>5.8336171507835391E-2</v>
      </c>
    </row>
    <row r="41" spans="13:18" x14ac:dyDescent="0.35">
      <c r="M41" s="45" t="s">
        <v>8</v>
      </c>
    </row>
    <row r="42" spans="13:18" x14ac:dyDescent="0.35">
      <c r="M42" s="44" t="s">
        <v>7</v>
      </c>
      <c r="N42" s="44" t="s">
        <v>8</v>
      </c>
      <c r="O42" s="36">
        <v>45355</v>
      </c>
      <c r="P42" s="27">
        <v>28.88</v>
      </c>
      <c r="Q42" s="40">
        <f>-P42*$C$2</f>
        <v>-22708.055199999999</v>
      </c>
    </row>
    <row r="43" spans="13:18" x14ac:dyDescent="0.35">
      <c r="M43" s="44" t="s">
        <v>7</v>
      </c>
      <c r="O43" s="2">
        <v>45383</v>
      </c>
      <c r="Q43" s="39">
        <v>25</v>
      </c>
    </row>
    <row r="44" spans="13:18" x14ac:dyDescent="0.35">
      <c r="M44" s="44" t="s">
        <v>7</v>
      </c>
      <c r="O44" s="2">
        <f>EOMONTH(O43,1)</f>
        <v>45443</v>
      </c>
      <c r="Q44" s="39">
        <v>25</v>
      </c>
    </row>
    <row r="45" spans="13:18" x14ac:dyDescent="0.35">
      <c r="M45" s="44" t="s">
        <v>7</v>
      </c>
      <c r="O45" s="2">
        <f t="shared" ref="O45:O63" si="4">EOMONTH(O44,1)</f>
        <v>45473</v>
      </c>
      <c r="Q45" s="39">
        <v>25</v>
      </c>
    </row>
    <row r="46" spans="13:18" x14ac:dyDescent="0.35">
      <c r="M46" s="44" t="s">
        <v>7</v>
      </c>
      <c r="O46" s="2">
        <f t="shared" si="4"/>
        <v>45504</v>
      </c>
      <c r="Q46" s="39">
        <v>25</v>
      </c>
    </row>
    <row r="47" spans="13:18" x14ac:dyDescent="0.35">
      <c r="M47" s="44" t="s">
        <v>7</v>
      </c>
      <c r="O47" s="2">
        <f t="shared" si="4"/>
        <v>45535</v>
      </c>
      <c r="Q47" s="39">
        <v>25</v>
      </c>
    </row>
    <row r="48" spans="13:18" x14ac:dyDescent="0.35">
      <c r="M48" s="44" t="s">
        <v>7</v>
      </c>
      <c r="O48" s="2">
        <f t="shared" si="4"/>
        <v>45565</v>
      </c>
      <c r="Q48" s="39">
        <v>25</v>
      </c>
    </row>
    <row r="49" spans="13:17" x14ac:dyDescent="0.35">
      <c r="M49" s="44" t="s">
        <v>7</v>
      </c>
      <c r="O49" s="2">
        <f t="shared" si="4"/>
        <v>45596</v>
      </c>
      <c r="Q49" s="39">
        <v>25</v>
      </c>
    </row>
    <row r="50" spans="13:17" x14ac:dyDescent="0.35">
      <c r="M50" s="44" t="s">
        <v>7</v>
      </c>
      <c r="O50" s="2">
        <f t="shared" si="4"/>
        <v>45626</v>
      </c>
      <c r="Q50" s="39">
        <v>25</v>
      </c>
    </row>
    <row r="51" spans="13:17" x14ac:dyDescent="0.35">
      <c r="M51" s="44" t="s">
        <v>7</v>
      </c>
      <c r="O51" s="2">
        <f t="shared" si="4"/>
        <v>45657</v>
      </c>
      <c r="Q51" s="39">
        <v>25</v>
      </c>
    </row>
    <row r="52" spans="13:17" x14ac:dyDescent="0.35">
      <c r="M52" s="44" t="s">
        <v>7</v>
      </c>
      <c r="O52" s="2">
        <f t="shared" si="4"/>
        <v>45688</v>
      </c>
      <c r="Q52" s="39">
        <v>25</v>
      </c>
    </row>
    <row r="53" spans="13:17" x14ac:dyDescent="0.35">
      <c r="M53" s="44" t="s">
        <v>7</v>
      </c>
      <c r="O53" s="2">
        <f t="shared" si="4"/>
        <v>45716</v>
      </c>
      <c r="Q53" s="39">
        <v>25</v>
      </c>
    </row>
    <row r="54" spans="13:17" x14ac:dyDescent="0.35">
      <c r="M54" s="44" t="s">
        <v>7</v>
      </c>
      <c r="O54" s="2">
        <f t="shared" si="4"/>
        <v>45747</v>
      </c>
      <c r="Q54" s="39">
        <v>25</v>
      </c>
    </row>
    <row r="55" spans="13:17" x14ac:dyDescent="0.35">
      <c r="M55" s="44" t="s">
        <v>7</v>
      </c>
      <c r="O55" s="2">
        <f t="shared" si="4"/>
        <v>45777</v>
      </c>
      <c r="Q55" s="39">
        <v>25</v>
      </c>
    </row>
    <row r="56" spans="13:17" x14ac:dyDescent="0.35">
      <c r="M56" s="44" t="s">
        <v>7</v>
      </c>
      <c r="O56" s="2">
        <f t="shared" si="4"/>
        <v>45808</v>
      </c>
      <c r="Q56" s="39">
        <v>25</v>
      </c>
    </row>
    <row r="57" spans="13:17" x14ac:dyDescent="0.35">
      <c r="M57" s="44" t="s">
        <v>7</v>
      </c>
      <c r="O57" s="2">
        <f t="shared" si="4"/>
        <v>45838</v>
      </c>
      <c r="Q57" s="39">
        <v>25</v>
      </c>
    </row>
    <row r="58" spans="13:17" x14ac:dyDescent="0.35">
      <c r="M58" s="44" t="s">
        <v>7</v>
      </c>
      <c r="O58" s="2">
        <f t="shared" si="4"/>
        <v>45869</v>
      </c>
      <c r="Q58" s="39">
        <v>25</v>
      </c>
    </row>
    <row r="59" spans="13:17" x14ac:dyDescent="0.35">
      <c r="M59" s="44" t="s">
        <v>7</v>
      </c>
      <c r="O59" s="2">
        <f t="shared" si="4"/>
        <v>45900</v>
      </c>
      <c r="Q59" s="39">
        <v>25</v>
      </c>
    </row>
    <row r="60" spans="13:17" x14ac:dyDescent="0.35">
      <c r="M60" s="44" t="s">
        <v>7</v>
      </c>
      <c r="O60" s="2">
        <f t="shared" si="4"/>
        <v>45930</v>
      </c>
      <c r="Q60" s="39">
        <v>25</v>
      </c>
    </row>
    <row r="61" spans="13:17" x14ac:dyDescent="0.35">
      <c r="M61" s="44" t="s">
        <v>7</v>
      </c>
      <c r="O61" s="2">
        <f t="shared" si="4"/>
        <v>45961</v>
      </c>
      <c r="Q61" s="39">
        <v>25</v>
      </c>
    </row>
    <row r="62" spans="13:17" x14ac:dyDescent="0.35">
      <c r="M62" s="44" t="s">
        <v>7</v>
      </c>
      <c r="O62" s="2">
        <f t="shared" si="4"/>
        <v>45991</v>
      </c>
      <c r="Q62" s="39">
        <v>25</v>
      </c>
    </row>
    <row r="63" spans="13:17" x14ac:dyDescent="0.35">
      <c r="M63" s="44" t="s">
        <v>7</v>
      </c>
      <c r="O63" s="2">
        <f t="shared" si="4"/>
        <v>46022</v>
      </c>
      <c r="Q63" s="39">
        <v>25</v>
      </c>
    </row>
    <row r="64" spans="13:17" x14ac:dyDescent="0.35">
      <c r="M64" s="44" t="s">
        <v>7</v>
      </c>
      <c r="O64" s="13">
        <v>46053</v>
      </c>
      <c r="Q64" s="39">
        <v>25</v>
      </c>
    </row>
    <row r="65" spans="13:18" x14ac:dyDescent="0.35">
      <c r="M65" s="44" t="s">
        <v>7</v>
      </c>
      <c r="N65" s="44" t="s">
        <v>8</v>
      </c>
      <c r="O65" s="13">
        <v>46053</v>
      </c>
      <c r="P65" s="42">
        <v>33.770000000000003</v>
      </c>
      <c r="Q65" s="40">
        <f>P65*$C$2</f>
        <v>26553.013300000002</v>
      </c>
      <c r="R65" s="41">
        <f>SUM(Q42:Q65)</f>
        <v>4394.9581000000035</v>
      </c>
    </row>
    <row r="66" spans="13:18" x14ac:dyDescent="0.35">
      <c r="Q66" s="32">
        <f>XIRR(Q42:Q65,O42:O65)</f>
        <v>9.7948735952377325E-2</v>
      </c>
    </row>
  </sheetData>
  <conditionalFormatting sqref="A2:A3">
    <cfRule type="expression" dxfId="65" priority="117" stopIfTrue="1">
      <formula>IF(AND(ISNUMBER(SEARCH("H2O", A2)), ISNUMBER(SEARCH("SP", A2))), 1,0)</formula>
    </cfRule>
    <cfRule type="containsText" dxfId="64" priority="118" stopIfTrue="1" operator="containsText" text="BTP">
      <formula>NOT(ISERROR(SEARCH("BTP",A2)))</formula>
    </cfRule>
  </conditionalFormatting>
  <conditionalFormatting sqref="D2:D3">
    <cfRule type="notContainsText" dxfId="62" priority="116" operator="notContains" text="EUR">
      <formula>ISERROR(SEARCH("EUR",D2))</formula>
    </cfRule>
  </conditionalFormatting>
  <conditionalFormatting sqref="N23">
    <cfRule type="containsText" dxfId="61" priority="66" operator="containsText" text="NEW">
      <formula>NOT(ISERROR(SEARCH("NEW",N23)))</formula>
    </cfRule>
    <cfRule type="containsText" dxfId="60" priority="67" operator="containsText" text="Multi-Asset">
      <formula>NOT(ISERROR(SEARCH("Multi-Asset",N23)))</formula>
    </cfRule>
    <cfRule type="containsText" dxfId="59" priority="68" operator="containsText" text="Altro">
      <formula>NOT(ISERROR(SEARCH("Altro",N23)))</formula>
    </cfRule>
    <cfRule type="containsText" dxfId="58" priority="69" operator="containsText" text="Obbligazionario">
      <formula>NOT(ISERROR(SEARCH("Obbligazionario",N23)))</formula>
    </cfRule>
    <cfRule type="containsText" dxfId="57" priority="70" operator="containsText" text="Obblig.">
      <formula>NOT(ISERROR(SEARCH("Obblig.",N23)))</formula>
    </cfRule>
    <cfRule type="containsText" dxfId="56" priority="71" operator="containsText" text="ETF">
      <formula>NOT(ISERROR(SEARCH("ETF",N23)))</formula>
    </cfRule>
    <cfRule type="containsText" dxfId="55" priority="72" operator="containsText" text="Azionario">
      <formula>NOT(ISERROR(SEARCH("Azionario",N23)))</formula>
    </cfRule>
    <cfRule type="containsText" dxfId="54" priority="73" operator="containsText" text="Liquidità">
      <formula>NOT(ISERROR(SEARCH("Liquidità",N23)))</formula>
    </cfRule>
    <cfRule type="containsText" dxfId="53" priority="74" operator="containsText" text="Bilanciato">
      <formula>NOT(ISERROR(SEARCH("Bilanciato",N23)))</formula>
    </cfRule>
    <cfRule type="containsText" dxfId="52" priority="75" operator="containsText" text="Certif">
      <formula>NOT(ISERROR(SEARCH("Certif",N23)))</formula>
    </cfRule>
    <cfRule type="containsText" dxfId="51" priority="76" stopIfTrue="1" operator="containsText" text="BTP">
      <formula>NOT(ISERROR(SEARCH("BTP",N23)))</formula>
    </cfRule>
    <cfRule type="expression" dxfId="50" priority="77" stopIfTrue="1">
      <formula>IF(AND(ISNUMBER(SEARCH("H2O", N23)), ISNUMBER(SEARCH("SP", N23))), 1,0)</formula>
    </cfRule>
  </conditionalFormatting>
  <conditionalFormatting sqref="N38">
    <cfRule type="containsText" dxfId="37" priority="25" operator="containsText" text="NEW">
      <formula>NOT(ISERROR(SEARCH("NEW",N38)))</formula>
    </cfRule>
    <cfRule type="containsText" dxfId="36" priority="26" operator="containsText" text="Multi-Asset">
      <formula>NOT(ISERROR(SEARCH("Multi-Asset",N38)))</formula>
    </cfRule>
    <cfRule type="containsText" dxfId="35" priority="27" operator="containsText" text="Altro">
      <formula>NOT(ISERROR(SEARCH("Altro",N38)))</formula>
    </cfRule>
    <cfRule type="containsText" dxfId="34" priority="28" operator="containsText" text="Obbligazionario">
      <formula>NOT(ISERROR(SEARCH("Obbligazionario",N38)))</formula>
    </cfRule>
    <cfRule type="containsText" dxfId="33" priority="29" operator="containsText" text="Obblig.">
      <formula>NOT(ISERROR(SEARCH("Obblig.",N38)))</formula>
    </cfRule>
    <cfRule type="containsText" dxfId="32" priority="30" operator="containsText" text="ETF">
      <formula>NOT(ISERROR(SEARCH("ETF",N38)))</formula>
    </cfRule>
    <cfRule type="containsText" dxfId="31" priority="31" operator="containsText" text="Azionario">
      <formula>NOT(ISERROR(SEARCH("Azionario",N38)))</formula>
    </cfRule>
    <cfRule type="containsText" dxfId="30" priority="32" operator="containsText" text="Liquidità">
      <formula>NOT(ISERROR(SEARCH("Liquidità",N38)))</formula>
    </cfRule>
    <cfRule type="containsText" dxfId="29" priority="33" operator="containsText" text="Bilanciato">
      <formula>NOT(ISERROR(SEARCH("Bilanciato",N38)))</formula>
    </cfRule>
    <cfRule type="containsText" dxfId="28" priority="34" operator="containsText" text="Certif">
      <formula>NOT(ISERROR(SEARCH("Certif",N38)))</formula>
    </cfRule>
    <cfRule type="containsText" dxfId="27" priority="35" stopIfTrue="1" operator="containsText" text="BTP">
      <formula>NOT(ISERROR(SEARCH("BTP",N38)))</formula>
    </cfRule>
    <cfRule type="expression" dxfId="26" priority="36" stopIfTrue="1">
      <formula>IF(AND(ISNUMBER(SEARCH("H2O", N38)), ISNUMBER(SEARCH("SP", N38))), 1,0)</formula>
    </cfRule>
  </conditionalFormatting>
  <conditionalFormatting sqref="M26">
    <cfRule type="expression" dxfId="23" priority="21" stopIfTrue="1">
      <formula>IF(AND(ISNUMBER(SEARCH("H2O", M26)), ISNUMBER(SEARCH("SP", M26))), 1,0)</formula>
    </cfRule>
    <cfRule type="containsText" dxfId="22" priority="22" stopIfTrue="1" operator="containsText" text="BTP">
      <formula>NOT(ISERROR(SEARCH("BTP",M26)))</formula>
    </cfRule>
  </conditionalFormatting>
  <conditionalFormatting sqref="N42">
    <cfRule type="expression" dxfId="7" priority="5" stopIfTrue="1">
      <formula>IF(AND(ISNUMBER(SEARCH("H2O", N42)), ISNUMBER(SEARCH("SP", N42))), 1,0)</formula>
    </cfRule>
    <cfRule type="containsText" dxfId="6" priority="6" stopIfTrue="1" operator="containsText" text="BTP">
      <formula>NOT(ISERROR(SEARCH("BTP",N42)))</formula>
    </cfRule>
  </conditionalFormatting>
  <conditionalFormatting sqref="M41">
    <cfRule type="expression" dxfId="5" priority="3" stopIfTrue="1">
      <formula>IF(AND(ISNUMBER(SEARCH("H2O", M41)), ISNUMBER(SEARCH("SP", M41))), 1,0)</formula>
    </cfRule>
    <cfRule type="containsText" dxfId="4" priority="4" stopIfTrue="1" operator="containsText" text="BTP">
      <formula>NOT(ISERROR(SEARCH("BTP",M41)))</formula>
    </cfRule>
  </conditionalFormatting>
  <conditionalFormatting sqref="N65">
    <cfRule type="expression" dxfId="3" priority="1" stopIfTrue="1">
      <formula>IF(AND(ISNUMBER(SEARCH("H2O", N65)), ISNUMBER(SEARCH("SP", N65))), 1,0)</formula>
    </cfRule>
    <cfRule type="containsText" dxfId="2" priority="2" stopIfTrue="1" operator="containsText" text="BTP">
      <formula>NOT(ISERROR(SEARCH("BTP",N65)))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30</v>
      </c>
    </row>
    <row r="2" spans="1:3" x14ac:dyDescent="0.35">
      <c r="A2" s="5" t="s">
        <v>9</v>
      </c>
      <c r="B2" s="5" t="s">
        <v>31</v>
      </c>
      <c r="C2" s="9">
        <v>45002</v>
      </c>
    </row>
    <row r="3" spans="1:3" x14ac:dyDescent="0.35">
      <c r="A3" s="1" t="s">
        <v>10</v>
      </c>
      <c r="B3" s="1" t="s">
        <v>32</v>
      </c>
      <c r="C3" s="2">
        <v>45002</v>
      </c>
    </row>
    <row r="4" spans="1:3" x14ac:dyDescent="0.35">
      <c r="A4" s="5" t="s">
        <v>8</v>
      </c>
      <c r="B4" s="5" t="s">
        <v>7</v>
      </c>
      <c r="C4" s="9">
        <v>45355</v>
      </c>
    </row>
    <row r="5" spans="1:3" x14ac:dyDescent="0.35">
      <c r="A5" s="1" t="s">
        <v>11</v>
      </c>
      <c r="B5" s="1" t="s">
        <v>33</v>
      </c>
      <c r="C5" s="2">
        <v>45355</v>
      </c>
    </row>
    <row r="6" spans="1:3" x14ac:dyDescent="0.35">
      <c r="A6" s="5" t="s">
        <v>12</v>
      </c>
      <c r="B6" s="5" t="s">
        <v>34</v>
      </c>
      <c r="C6" s="9">
        <v>45355</v>
      </c>
    </row>
    <row r="7" spans="1:3" x14ac:dyDescent="0.35">
      <c r="A7" s="1" t="s">
        <v>17</v>
      </c>
      <c r="B7" s="1" t="s">
        <v>39</v>
      </c>
      <c r="C7" s="2">
        <v>45355</v>
      </c>
    </row>
    <row r="8" spans="1:3" x14ac:dyDescent="0.35">
      <c r="A8" s="5" t="s">
        <v>18</v>
      </c>
      <c r="B8" s="5" t="s">
        <v>40</v>
      </c>
      <c r="C8" s="9">
        <v>45355</v>
      </c>
    </row>
    <row r="9" spans="1:3" x14ac:dyDescent="0.35">
      <c r="A9" s="1" t="s">
        <v>19</v>
      </c>
      <c r="B9" s="1" t="s">
        <v>41</v>
      </c>
      <c r="C9" s="2">
        <v>45355</v>
      </c>
    </row>
    <row r="10" spans="1:3" x14ac:dyDescent="0.35">
      <c r="A10" s="1" t="s">
        <v>21</v>
      </c>
      <c r="B10" s="1" t="s">
        <v>43</v>
      </c>
      <c r="C10" s="2">
        <v>45355</v>
      </c>
    </row>
    <row r="11" spans="1:3" x14ac:dyDescent="0.35">
      <c r="A11" s="5" t="s">
        <v>22</v>
      </c>
      <c r="B11" s="5" t="s">
        <v>44</v>
      </c>
      <c r="C11" s="9">
        <v>45355</v>
      </c>
    </row>
    <row r="12" spans="1:3" x14ac:dyDescent="0.35">
      <c r="A12" s="1" t="s">
        <v>25</v>
      </c>
      <c r="B12" s="1" t="s">
        <v>47</v>
      </c>
      <c r="C12" s="2">
        <v>45355</v>
      </c>
    </row>
    <row r="13" spans="1:3" x14ac:dyDescent="0.35">
      <c r="A13" s="5" t="s">
        <v>24</v>
      </c>
      <c r="B13" s="5" t="s">
        <v>46</v>
      </c>
      <c r="C13" s="9">
        <v>45701</v>
      </c>
    </row>
    <row r="14" spans="1:3" x14ac:dyDescent="0.35">
      <c r="A14" s="1" t="s">
        <v>13</v>
      </c>
      <c r="B14" s="1" t="s">
        <v>35</v>
      </c>
      <c r="C14" s="2">
        <v>45702</v>
      </c>
    </row>
    <row r="15" spans="1:3" x14ac:dyDescent="0.35">
      <c r="A15" s="1" t="s">
        <v>15</v>
      </c>
      <c r="B15" s="1" t="s">
        <v>37</v>
      </c>
      <c r="C15" s="2">
        <v>45702</v>
      </c>
    </row>
    <row r="16" spans="1:3" x14ac:dyDescent="0.35">
      <c r="A16" s="5" t="s">
        <v>16</v>
      </c>
      <c r="B16" s="5" t="s">
        <v>38</v>
      </c>
      <c r="C16" s="9">
        <v>45702</v>
      </c>
    </row>
    <row r="17" spans="1:3" x14ac:dyDescent="0.35">
      <c r="A17" s="5" t="s">
        <v>14</v>
      </c>
      <c r="B17" s="5" t="s">
        <v>36</v>
      </c>
      <c r="C17" s="9">
        <v>45705</v>
      </c>
    </row>
    <row r="18" spans="1:3" x14ac:dyDescent="0.35">
      <c r="A18" s="1" t="s">
        <v>23</v>
      </c>
      <c r="B18" s="1" t="s">
        <v>45</v>
      </c>
      <c r="C18" s="2">
        <v>45706</v>
      </c>
    </row>
    <row r="19" spans="1:3" x14ac:dyDescent="0.35">
      <c r="A19" s="5" t="s">
        <v>20</v>
      </c>
      <c r="B19" s="5" t="s">
        <v>42</v>
      </c>
      <c r="C19" s="9">
        <v>45806</v>
      </c>
    </row>
    <row r="20" spans="1:3" x14ac:dyDescent="0.35">
      <c r="A20" s="6" t="s">
        <v>26</v>
      </c>
      <c r="B20" s="6" t="s">
        <v>48</v>
      </c>
      <c r="C20" s="10">
        <v>46044</v>
      </c>
    </row>
    <row r="21" spans="1:3" x14ac:dyDescent="0.35">
      <c r="A21" s="7" t="s">
        <v>27</v>
      </c>
      <c r="B21" s="7" t="s">
        <v>49</v>
      </c>
      <c r="C21" s="11">
        <v>46044</v>
      </c>
    </row>
    <row r="22" spans="1:3" x14ac:dyDescent="0.35">
      <c r="A22" s="1" t="s">
        <v>29</v>
      </c>
      <c r="B22" s="1" t="s">
        <v>51</v>
      </c>
      <c r="C22" s="2">
        <v>46044</v>
      </c>
    </row>
    <row r="23" spans="1:3" x14ac:dyDescent="0.35">
      <c r="A23" s="6" t="s">
        <v>28</v>
      </c>
      <c r="B23" s="6" t="s">
        <v>50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2026-02-12T22:48:33Z</dcterms:modified>
</cp:coreProperties>
</file>