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MP\Certificati\"/>
    </mc:Choice>
  </mc:AlternateContent>
  <xr:revisionPtr revIDLastSave="0" documentId="13_ncr:1_{6003CCC3-7E76-49C8-A25E-1EF1922AF5D9}" xr6:coauthVersionLast="47" xr6:coauthVersionMax="47" xr10:uidLastSave="{00000000-0000-0000-0000-000000000000}"/>
  <bookViews>
    <workbookView xWindow="-110" yWindow="490" windowWidth="38620" windowHeight="21220" xr2:uid="{EF990C72-F3D2-48D3-83EA-DDC881B38527}"/>
  </bookViews>
  <sheets>
    <sheet name="DE000VJ2086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" i="2" l="1" a="1"/>
  <c r="H44" i="2" s="1"/>
  <c r="L44" i="2" s="1"/>
  <c r="P6" i="2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J44" i="2"/>
  <c r="J47" i="2"/>
  <c r="J46" i="2"/>
  <c r="J45" i="2"/>
  <c r="H47" i="2" a="1"/>
  <c r="H47" i="2" s="1"/>
  <c r="H46" i="2" a="1"/>
  <c r="H46" i="2" s="1"/>
  <c r="H45" i="2" a="1"/>
  <c r="H45" i="2" s="1"/>
  <c r="O38" i="2"/>
  <c r="N38" i="2"/>
  <c r="M38" i="2"/>
  <c r="L38" i="2"/>
  <c r="O37" i="2"/>
  <c r="N37" i="2"/>
  <c r="M37" i="2"/>
  <c r="L37" i="2"/>
  <c r="O36" i="2"/>
  <c r="N36" i="2"/>
  <c r="M36" i="2"/>
  <c r="L36" i="2"/>
  <c r="O35" i="2"/>
  <c r="N35" i="2"/>
  <c r="M35" i="2"/>
  <c r="L35" i="2"/>
  <c r="O34" i="2"/>
  <c r="N34" i="2"/>
  <c r="M34" i="2"/>
  <c r="L34" i="2"/>
  <c r="O33" i="2"/>
  <c r="N33" i="2"/>
  <c r="M33" i="2"/>
  <c r="L33" i="2"/>
  <c r="O32" i="2"/>
  <c r="N32" i="2"/>
  <c r="M32" i="2"/>
  <c r="L32" i="2"/>
  <c r="O31" i="2"/>
  <c r="N31" i="2"/>
  <c r="M31" i="2"/>
  <c r="L31" i="2"/>
  <c r="O30" i="2"/>
  <c r="N30" i="2"/>
  <c r="M30" i="2"/>
  <c r="L30" i="2"/>
  <c r="O29" i="2"/>
  <c r="N29" i="2"/>
  <c r="M29" i="2"/>
  <c r="L29" i="2"/>
  <c r="O28" i="2"/>
  <c r="N28" i="2"/>
  <c r="M28" i="2"/>
  <c r="L28" i="2"/>
  <c r="O27" i="2"/>
  <c r="N27" i="2"/>
  <c r="M27" i="2"/>
  <c r="L27" i="2"/>
  <c r="O26" i="2"/>
  <c r="N26" i="2"/>
  <c r="M26" i="2"/>
  <c r="L26" i="2"/>
  <c r="O25" i="2"/>
  <c r="N25" i="2"/>
  <c r="M25" i="2"/>
  <c r="L25" i="2"/>
  <c r="O24" i="2"/>
  <c r="N24" i="2"/>
  <c r="M24" i="2"/>
  <c r="L24" i="2"/>
  <c r="O23" i="2"/>
  <c r="N23" i="2"/>
  <c r="M23" i="2"/>
  <c r="L23" i="2"/>
  <c r="O22" i="2"/>
  <c r="N22" i="2"/>
  <c r="M22" i="2"/>
  <c r="L22" i="2"/>
  <c r="O21" i="2"/>
  <c r="N21" i="2"/>
  <c r="M21" i="2"/>
  <c r="L21" i="2"/>
  <c r="O20" i="2"/>
  <c r="N20" i="2"/>
  <c r="M20" i="2"/>
  <c r="L20" i="2"/>
  <c r="O19" i="2"/>
  <c r="N19" i="2"/>
  <c r="M19" i="2"/>
  <c r="L19" i="2"/>
  <c r="O18" i="2"/>
  <c r="N18" i="2"/>
  <c r="M18" i="2"/>
  <c r="L18" i="2"/>
  <c r="O17" i="2"/>
  <c r="N17" i="2"/>
  <c r="M17" i="2"/>
  <c r="L17" i="2"/>
  <c r="O16" i="2"/>
  <c r="N16" i="2"/>
  <c r="M16" i="2"/>
  <c r="L16" i="2"/>
  <c r="O15" i="2"/>
  <c r="N15" i="2"/>
  <c r="M15" i="2"/>
  <c r="L15" i="2"/>
  <c r="O14" i="2"/>
  <c r="N14" i="2"/>
  <c r="M14" i="2"/>
  <c r="L14" i="2"/>
  <c r="O13" i="2"/>
  <c r="N13" i="2"/>
  <c r="M13" i="2"/>
  <c r="L13" i="2"/>
  <c r="O12" i="2"/>
  <c r="N12" i="2"/>
  <c r="M12" i="2"/>
  <c r="L12" i="2"/>
  <c r="O11" i="2"/>
  <c r="N11" i="2"/>
  <c r="M11" i="2"/>
  <c r="L11" i="2"/>
  <c r="O10" i="2"/>
  <c r="N10" i="2"/>
  <c r="M10" i="2"/>
  <c r="L10" i="2"/>
  <c r="O9" i="2"/>
  <c r="N9" i="2"/>
  <c r="M9" i="2"/>
  <c r="L9" i="2"/>
  <c r="O8" i="2"/>
  <c r="N8" i="2"/>
  <c r="M8" i="2"/>
  <c r="L8" i="2"/>
  <c r="O7" i="2"/>
  <c r="N7" i="2"/>
  <c r="M7" i="2"/>
  <c r="L7" i="2"/>
  <c r="O6" i="2"/>
  <c r="N6" i="2"/>
  <c r="M6" i="2"/>
  <c r="L6" i="2"/>
  <c r="K38" i="2"/>
  <c r="J38" i="2"/>
  <c r="I38" i="2"/>
  <c r="H38" i="2"/>
  <c r="K37" i="2"/>
  <c r="J37" i="2"/>
  <c r="I37" i="2"/>
  <c r="H37" i="2"/>
  <c r="K36" i="2"/>
  <c r="J36" i="2"/>
  <c r="I36" i="2"/>
  <c r="H36" i="2"/>
  <c r="K35" i="2"/>
  <c r="J35" i="2"/>
  <c r="I35" i="2"/>
  <c r="H35" i="2"/>
  <c r="K34" i="2"/>
  <c r="J34" i="2"/>
  <c r="I34" i="2"/>
  <c r="H34" i="2"/>
  <c r="K33" i="2"/>
  <c r="J33" i="2"/>
  <c r="I33" i="2"/>
  <c r="H33" i="2"/>
  <c r="K32" i="2"/>
  <c r="J32" i="2"/>
  <c r="I32" i="2"/>
  <c r="H32" i="2"/>
  <c r="K31" i="2"/>
  <c r="J31" i="2"/>
  <c r="I31" i="2"/>
  <c r="H31" i="2"/>
  <c r="K30" i="2"/>
  <c r="J30" i="2"/>
  <c r="I30" i="2"/>
  <c r="H30" i="2"/>
  <c r="K29" i="2"/>
  <c r="J29" i="2"/>
  <c r="I29" i="2"/>
  <c r="H29" i="2"/>
  <c r="K28" i="2"/>
  <c r="J28" i="2"/>
  <c r="I28" i="2"/>
  <c r="H28" i="2"/>
  <c r="K27" i="2"/>
  <c r="J27" i="2"/>
  <c r="I27" i="2"/>
  <c r="H27" i="2"/>
  <c r="K26" i="2"/>
  <c r="J26" i="2"/>
  <c r="I26" i="2"/>
  <c r="H26" i="2"/>
  <c r="K25" i="2"/>
  <c r="J25" i="2"/>
  <c r="I25" i="2"/>
  <c r="H25" i="2"/>
  <c r="K24" i="2"/>
  <c r="J24" i="2"/>
  <c r="I24" i="2"/>
  <c r="H24" i="2"/>
  <c r="K23" i="2"/>
  <c r="J23" i="2"/>
  <c r="I23" i="2"/>
  <c r="H23" i="2"/>
  <c r="K22" i="2"/>
  <c r="J22" i="2"/>
  <c r="I22" i="2"/>
  <c r="H22" i="2"/>
  <c r="K21" i="2"/>
  <c r="J21" i="2"/>
  <c r="I21" i="2"/>
  <c r="H21" i="2"/>
  <c r="K20" i="2"/>
  <c r="J20" i="2"/>
  <c r="I20" i="2"/>
  <c r="H20" i="2"/>
  <c r="K19" i="2"/>
  <c r="J19" i="2"/>
  <c r="I19" i="2"/>
  <c r="H19" i="2"/>
  <c r="K18" i="2"/>
  <c r="J18" i="2"/>
  <c r="I18" i="2"/>
  <c r="H18" i="2"/>
  <c r="K17" i="2"/>
  <c r="J17" i="2"/>
  <c r="I17" i="2"/>
  <c r="H17" i="2"/>
  <c r="K16" i="2"/>
  <c r="J16" i="2"/>
  <c r="I16" i="2"/>
  <c r="H16" i="2"/>
  <c r="K15" i="2"/>
  <c r="J15" i="2"/>
  <c r="I15" i="2"/>
  <c r="H15" i="2"/>
  <c r="K14" i="2"/>
  <c r="J14" i="2"/>
  <c r="I14" i="2"/>
  <c r="H14" i="2"/>
  <c r="K13" i="2"/>
  <c r="J13" i="2"/>
  <c r="I13" i="2"/>
  <c r="H13" i="2"/>
  <c r="K12" i="2"/>
  <c r="J12" i="2"/>
  <c r="I12" i="2"/>
  <c r="H12" i="2"/>
  <c r="K11" i="2"/>
  <c r="J11" i="2"/>
  <c r="I11" i="2"/>
  <c r="H11" i="2"/>
  <c r="K10" i="2"/>
  <c r="J10" i="2"/>
  <c r="I10" i="2"/>
  <c r="H10" i="2"/>
  <c r="K9" i="2"/>
  <c r="J9" i="2"/>
  <c r="I9" i="2"/>
  <c r="H9" i="2"/>
  <c r="K8" i="2"/>
  <c r="J8" i="2"/>
  <c r="I8" i="2"/>
  <c r="H8" i="2"/>
  <c r="K7" i="2"/>
  <c r="J7" i="2"/>
  <c r="I7" i="2"/>
  <c r="H7" i="2"/>
  <c r="K6" i="2"/>
  <c r="J6" i="2"/>
  <c r="I6" i="2"/>
  <c r="H6" i="2"/>
  <c r="K5" i="2"/>
  <c r="J5" i="2"/>
  <c r="I5" i="2"/>
  <c r="H5" i="2"/>
  <c r="K4" i="2"/>
  <c r="J4" i="2"/>
  <c r="I4" i="2"/>
  <c r="H4" i="2"/>
  <c r="K47" i="2" l="1"/>
  <c r="L47" i="2"/>
  <c r="K46" i="2"/>
  <c r="L46" i="2"/>
  <c r="K45" i="2"/>
  <c r="L45" i="2"/>
  <c r="K44" i="2"/>
  <c r="M47" i="2"/>
  <c r="M46" i="2"/>
  <c r="M44" i="2"/>
  <c r="M45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2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11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sharedStrings.xml><?xml version="1.0" encoding="utf-8"?>
<sst xmlns="http://schemas.openxmlformats.org/spreadsheetml/2006/main" count="61" uniqueCount="27">
  <si>
    <t>Strike</t>
  </si>
  <si>
    <t>Prezzo</t>
  </si>
  <si>
    <t>DATA RILEVAMENTO</t>
  </si>
  <si>
    <t>PREMIO PER IL RIMBORSO</t>
  </si>
  <si>
    <t>TRIGGER AUTOCALLABLE</t>
  </si>
  <si>
    <t>CEDOLA</t>
  </si>
  <si>
    <t>TRIGGER CEDOLA</t>
  </si>
  <si>
    <t>NOTE</t>
  </si>
  <si>
    <t>Cedola a memoria 1,58 euro; No rimborso anticipato</t>
  </si>
  <si>
    <t>Cedola a memoria 1,58 euro; Coupon 0; In caso di rimborso 100 euro + cedola</t>
  </si>
  <si>
    <t>Deutsche Bank</t>
  </si>
  <si>
    <t xml:space="preserve"> </t>
  </si>
  <si>
    <t>Societe Generale</t>
  </si>
  <si>
    <t>Banca MPS</t>
  </si>
  <si>
    <t>Commerzbank</t>
  </si>
  <si>
    <t>Deutsche Bank2</t>
  </si>
  <si>
    <t>Societe Generale3</t>
  </si>
  <si>
    <t>Banca MPS4</t>
  </si>
  <si>
    <t>Commerzbank5</t>
  </si>
  <si>
    <t>Autocallable</t>
  </si>
  <si>
    <t>Trigger Cedola</t>
  </si>
  <si>
    <t>DE000VJ20861</t>
  </si>
  <si>
    <t>Vontobel</t>
  </si>
  <si>
    <t>Dist. Barriera</t>
  </si>
  <si>
    <t>Asset</t>
  </si>
  <si>
    <t>Cedole</t>
  </si>
  <si>
    <t>Dist. 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</si>
</sst>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-2]\ * #,##0.00_);_([$€-2]\ * \(#,##0.00\);_([$€-2]\ * &quot;-&quot;??_);_(@_)"/>
    <numFmt numFmtId="165" formatCode="[Color50]\+0.00%;[Red]\-0.00%;\-"/>
    <numFmt numFmtId="166" formatCode="&quot;Barriera &quot;0%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u/>
      <sz val="14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4" fillId="3" borderId="0" xfId="0" applyFont="1" applyFill="1" applyAlignment="1">
      <alignment horizontal="center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center"/>
    </xf>
    <xf numFmtId="164" fontId="0" fillId="0" borderId="0" xfId="0" applyNumberFormat="1" applyAlignment="1">
      <alignment horizontal="center"/>
    </xf>
    <xf numFmtId="165" fontId="2" fillId="0" borderId="5" xfId="0" applyNumberFormat="1" applyFont="1" applyBorder="1" applyAlignment="1">
      <alignment horizontal="right" vertical="center"/>
    </xf>
    <xf numFmtId="0" fontId="0" fillId="0" borderId="5" xfId="0" applyBorder="1" applyAlignment="1">
      <alignment horizontal="right"/>
    </xf>
    <xf numFmtId="164" fontId="0" fillId="0" borderId="5" xfId="0" applyNumberFormat="1" applyBorder="1" applyAlignment="1">
      <alignment horizontal="center"/>
    </xf>
    <xf numFmtId="166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6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ichStyles" Target="richData/richStyl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12">
  <rv s="0">
    <v>https://www.bing.com/financeapi/forcetrigger?t=af7u7w&amp;q=XFRA%3aDBK&amp;form=skydnc</v>
    <v>Learn more on Bing</v>
  </rv>
  <rv s="1">
    <v>it-IT</v>
    <v>af7u7w</v>
    <v>268435456</v>
    <v>1</v>
    <v>Con tecnologia Refinitiv</v>
    <v>0</v>
    <v>1</v>
    <v>Deutsche Bank AG (XFRA:DBK)</v>
    <v>3</v>
    <v>4</v>
    <v>Finance</v>
    <v>5</v>
    <v>1952</v>
    <v>25.58</v>
    <v>1910579000</v>
    <v>1.206</v>
    <v>64367410000</v>
    <v>25.774999999999999</v>
    <v>Deutsche Bank Aktiengesellschaft è una banca e una holding per le sue controllate. La società offre una gamma di servizi, quali prodotti e servizi di investimento, finanziari e correlati, a privati, entità aziendali e clienti istituzionali. Opera attraverso quattro divisioni aziendali: Corporate Bank, Investment Bank, Private Bank e Asset Management. La divisione Corporate Bank serve clienti aziendali e istituzioni finanziarie, offrendo gestione del contante, finanza commerciale, prestiti, cambi, servizi fiduciari e di agenzia, servizi bancari di corrispondenza e servizi di titoli. La divisione Investment Bank comprende vendite e Trading obbligazionari e valute (FIC), Origination &amp; Advisory e Deutsche Bank Research. La divisione Private Bank si concentra su clienti personali e privati, individui ricchi, imprenditori e famiglie. La divisione Asset Management opera con il marchio DWS e serve una base clienti diversificata di investitori retail e istituzionali in tutto il mondo.</v>
    <v>89879</v>
    <v>Deutsche Boerse AG</v>
    <v>XFRA</v>
    <v>0</v>
    <v>25.58</v>
    <v>34.155000000000001</v>
    <v>25.1</v>
    <v>4.468</v>
    <v>Deutsche Bank AG</v>
    <v>Deutsche Bank AG</v>
    <v>46107.697916666664</v>
    <v>8.5202000000000009</v>
    <v>25.305</v>
    <v>Taunusanlage 12, FRANKFURT AM MAIN, HESSEN, 60325 DE</v>
    <v>Banking Services</v>
    <v>XFRA</v>
    <v>DBK</v>
    <v>Azionario</v>
    <v>Deutsche Bank AG (XFRA:DBK)</v>
    <v>EUR</v>
    <v>-0.47</v>
    <v>-1.8234999999999998E-2</v>
    <v>14275</v>
    <v>9058090</v>
  </rv>
  <rv s="2">
    <v>1</v>
  </rv>
  <rv s="0">
    <v>https://www.bing.com/financeapi/forcetrigger?t=ae8t4c&amp;q=XPAR%3aGLE&amp;form=skydnc</v>
    <v>Learn more on Bing</v>
  </rv>
  <rv s="3">
    <v>it-IT</v>
    <v>ae8t4c</v>
    <v>268435456</v>
    <v>1</v>
    <v>Con tecnologia Refinitiv</v>
    <v>6</v>
    <v>7</v>
    <v>Societe Generale SA (XPAR:GLE)</v>
    <v>3</v>
    <v>8</v>
    <v>Finance</v>
    <v>5</v>
    <v>64.36</v>
    <v>751724000</v>
    <v>1.1986000000000001</v>
    <v>53437230000</v>
    <v>65.180000000000007</v>
    <v>Societe generale SA è un gruppo di servizi finanziari con sede in Francia. Il gruppo offre un'ampia gamma di servizi di consulenza e soluzioni finanziarie personalizzate per garantire transazioni, proteggere e gestire asset e risparmi e aiutare i propri clienti a finanziare i propri progetti. Opera in tre segmenti: French Retail Banking, International Retail Banking &amp; Financial Services e Global Banking and Investor Solutions. French Retail Banking comprende le reti nazionali Societe generale, Credit du Nord e Boursorama. International Retail Banking &amp; Financial Services comprende attività di International Retail Banking (attività di finanza al consumo), servizi finanziari alle imprese (leasing operativo di veicoli e gestione del parco veicoli, finanziamento di attrezzature e fornitori) e attività assicurative. Global Banking and Investor Solutions comprende Global Markets and Investors Services, Financing and Advisory, Asset and Wealth Management. Il gruppo è attivo a livello globale.</v>
    <v>110000</v>
    <v>Euronext Paris</v>
    <v>XPAR</v>
    <v>3</v>
    <v>64.62</v>
    <v>77.34</v>
    <v>62.98</v>
    <v>30.46</v>
    <v>Societe Generale SA</v>
    <v>Societe Generale SA</v>
    <v>46107.694444444445</v>
    <v>9.2347999999999999</v>
    <v>63.38</v>
    <v>29 Boulevard Haussmann, PARIS, ILE-DE-FRANCE, 75009 FR</v>
    <v>Banking Services</v>
    <v>XPAR</v>
    <v>GLE</v>
    <v>Azionario</v>
    <v>Societe Generale SA (XPAR:GLE)</v>
    <v>EUR</v>
    <v>-1.8</v>
    <v>-2.7616000000000002E-2</v>
    <v>1747850</v>
    <v>3408730</v>
  </rv>
  <rv s="2">
    <v>4</v>
  </rv>
  <rv s="0">
    <v>https://www.bing.com/financeapi/forcetrigger?t=aje7z2&amp;q=XMIL%3aBMPS&amp;form=skydnc</v>
    <v>Learn more on Bing</v>
  </rv>
  <rv s="3">
    <v>it-IT</v>
    <v>aje7z2</v>
    <v>268435456</v>
    <v>1</v>
    <v>Con tecnologia Refinitiv</v>
    <v>6</v>
    <v>7</v>
    <v>BANCA MONTE DEI PASCHI DI SIENA S.P.A. (XMIL:BMPS)</v>
    <v>3</v>
    <v>8</v>
    <v>Finance</v>
    <v>9</v>
    <v>7.49</v>
    <v>3038418000</v>
    <v>0.94040000000000001</v>
    <v>28275520000</v>
    <v>7.5860000000000003</v>
    <v>BANCA MONTE DEI PASCHI DI SIENA S.P.A. è una società con sede in Italia impegnata nel settore bancario. Fornisce servizi bancari, di asset management e di private banking, inclusi assicurazione sulla vita, fondi pensione e fondi comuni di investimento. Svolge la propria attività mediante tre segmenti operativi. Il segmento Retail Banking copre prestiti al consumo, assicurazioni, fornitura di servizi finanziari e non finanziari a clienti al dettaglio, gestione patrimoniale, pianificazione fiscale, consulenza finanziaria e pianificazione per clienti privati. La divisione Corporate Banking sovrintende le strategie operative del gruppo mirate a piccole e medie imprese, istituzioni e grandi società a cui offre prodotti di leasing, factoring, prestiti e finanziamenti, tra gli altri. Il segmento Corporate Center comprende la cancellazione delle partite infragruppo, le funzioni di tesoreria, di governo e di supporto. Trasferisce i crediti deteriorati (non performing loans, NPL) a Banca Ifis SpA e a Cerberus Management Capital LP.</v>
    <v>16599</v>
    <v>Borsa Italiana</v>
    <v>XMIL</v>
    <v>6</v>
    <v>7.577</v>
    <v>9.4499999999999993</v>
    <v>7.4560000000000004</v>
    <v>5.55</v>
    <v>BANCA MONTE DEI PASCHI DI SIENA S.P.A.</v>
    <v>BANCA MONTE DEI PASCHI DI SIENA S.P.A.</v>
    <v>46107.697916666664</v>
    <v>6.8921000000000001</v>
    <v>7.4909999999999997</v>
    <v>Piazza Salimbeni, 3, SIENA, SIENA, 53100 IT</v>
    <v>Banking Services</v>
    <v>XMIL</v>
    <v>BMPS</v>
    <v>Azionario</v>
    <v>BANCA MONTE DEI PASCHI DI SIENA S.P.A. (XMIL:BMPS)</v>
    <v>EUR</v>
    <v>-9.5000000000000001E-2</v>
    <v>-1.2522999999999999E-2</v>
    <v>32386754</v>
    <v>32898580</v>
  </rv>
  <rv s="2">
    <v>7</v>
  </rv>
  <rv s="0">
    <v>https://www.bing.com/financeapi/forcetrigger?t=af6l27&amp;q=XFRA%3aCBK&amp;form=skydnc</v>
    <v>Learn more on Bing</v>
  </rv>
  <rv s="1">
    <v>it-IT</v>
    <v>af6l27</v>
    <v>268435456</v>
    <v>1</v>
    <v>Con tecnologia Refinitiv</v>
    <v>0</v>
    <v>1</v>
    <v>Commerzbank AG (XFRA:CBK)</v>
    <v>3</v>
    <v>4</v>
    <v>Finance</v>
    <v>5</v>
    <v>1952</v>
    <v>32.24</v>
    <v>1127496000</v>
    <v>0.93</v>
    <v>40330540000</v>
    <v>32.270000000000003</v>
    <v>COMMERZBANK AG è una banca commerciale internazionale con sede in Germania con filiali e uffici in quasi 40 paesi. I due segmenti di attività della Banca, clienti privati e di piccole imprese e clienti aziendali, offrono un portafoglio di servizi finanziari alle esigenze dei loro clienti. La Banca offre la propria strategia settoriale ai propri clienti aziendali in Germania e all'estero ed è fornitore di prodotti del mercato dei capitali. Si concentra sul Mittelstand tedesco, sulle grandi aziende e sui clienti istituzionali. Nell'ambito della sua attività internazionale, supporta clienti con rapporti commerciali con Germania, Austria o Svizzera e aziende operanti in settori selezionati orientati al futuro.</v>
    <v>39787</v>
    <v>Deutsche Boerse AG</v>
    <v>XFRA</v>
    <v>9</v>
    <v>32.340000000000003</v>
    <v>38.08</v>
    <v>31.66</v>
    <v>1.0999999999999999E-2</v>
    <v>Commerzbank AG</v>
    <v>Commerzbank AG</v>
    <v>46107.695833333331</v>
    <v>15.402900000000001</v>
    <v>31.73</v>
    <v>Kaiserplatz, FRANKFURT AM MAIN, HESSEN, 60311 DE</v>
    <v>Banking Services</v>
    <v>XFRA</v>
    <v>CBK</v>
    <v>Azionario</v>
    <v>Commerzbank AG (XFRA:CBK)</v>
    <v>EUR</v>
    <v>-0.54</v>
    <v>-1.6733999999999999E-2</v>
    <v>534</v>
    <v>4801450</v>
  </rv>
  <rv s="2">
    <v>10</v>
  </rv>
</rvData>
</file>

<file path=xl/richData/rdrichvaluestructure.xml><?xml version="1.0" encoding="utf-8"?>
<rvStructures xmlns="http://schemas.microsoft.com/office/spreadsheetml/2017/richdata" count="4">
  <s t="_hyperlink">
    <k n="Address" t="s"/>
    <k n="Text" t="s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Anno costituita"/>
    <k n="Apri"/>
    <k n="Azioni in circolazione"/>
    <k n="Beta"/>
    <k n="Capitalizzazione di mercato"/>
    <k n="Chiusura precedente"/>
    <k n="Descrizione" t="s"/>
    <k n="Dipendenti"/>
    <k n="Exchange" t="s"/>
    <k n="ExchangeID" t="s"/>
    <k n="LearnMoreOnLink" t="r"/>
    <k n="Massimo"/>
    <k n="Massimo in 52 settimane"/>
    <k n="Minimo"/>
    <k n="Minimo di 52 settimane"/>
    <k n="Nome" t="s"/>
    <k n="Nome ufficiale" t="s"/>
    <k n="Orario ultima transazione"/>
    <k n="P/U"/>
    <k n="Prezzo"/>
    <k n="Sede centrale" t="s"/>
    <k n="Settore" t="s"/>
    <k n="Simbolo azionario" t="s"/>
    <k n="Simbolo dell'azione" t="s"/>
    <k n="Tipo strumento" t="s"/>
    <k n="UniqueName" t="s"/>
    <k n="Valuta" t="s"/>
    <k n="Variazione"/>
    <k n="Variazione (%)"/>
    <k n="Volume"/>
    <k n="Volume medio"/>
  </s>
  <s t="_linkedentity">
    <k n="%cvi" t="r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Apri"/>
    <k n="Azioni in circolazione"/>
    <k n="Beta"/>
    <k n="Capitalizzazione di mercato"/>
    <k n="Chiusura precedente"/>
    <k n="Descrizione" t="s"/>
    <k n="Dipendenti"/>
    <k n="Exchange" t="s"/>
    <k n="ExchangeID" t="s"/>
    <k n="LearnMoreOnLink" t="r"/>
    <k n="Massimo"/>
    <k n="Massimo in 52 settimane"/>
    <k n="Minimo"/>
    <k n="Minimo di 52 settimane"/>
    <k n="Nome" t="s"/>
    <k n="Nome ufficiale" t="s"/>
    <k n="Orario ultima transazione"/>
    <k n="P/U"/>
    <k n="Prezzo"/>
    <k n="Sede centrale" t="s"/>
    <k n="Settore" t="s"/>
    <k n="Simbolo azionario" t="s"/>
    <k n="Simbolo dell'azione" t="s"/>
    <k n="Tipo strumento" t="s"/>
    <k n="UniqueName" t="s"/>
    <k n="Valuta" t="s"/>
    <k n="Variazione"/>
    <k n="Variazione (%)"/>
    <k n="Volume"/>
    <k n="Volume medio"/>
  </s>
</rvStructures>
</file>

<file path=xl/richData/rdsupportingpropertybag.xml><?xml version="1.0" encoding="utf-8"?>
<supportingPropertyBags xmlns="http://schemas.microsoft.com/office/spreadsheetml/2017/richdata2">
  <spbArrays count="2">
    <a count="43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Prezzo</v>
      <v t="s">Exchange</v>
      <v t="s">Nome ufficiale</v>
      <v t="s">Orario ultima transazione</v>
      <v t="s">Simbolo dell'azione</v>
      <v t="s">Simbolo azionario</v>
      <v t="s">Variazione</v>
      <v t="s">Variazione (%)</v>
      <v t="s">Valuta</v>
      <v t="s">Chiusura precedente</v>
      <v t="s">Apri</v>
      <v t="s">Massimo</v>
      <v t="s">Minimo</v>
      <v t="s">Massimo in 52 settimane</v>
      <v t="s">Minimo di 52 settimane</v>
      <v t="s">Volume</v>
      <v t="s">Volume medio</v>
      <v t="s">Capitalizzazione di mercato</v>
      <v t="s">Beta</v>
      <v t="s">P/U</v>
      <v t="s">Azioni in circolazione</v>
      <v t="s">Descrizione</v>
      <v t="s">Dipendenti</v>
      <v t="s">Sede centrale</v>
      <v t="s">Settore</v>
      <v t="s">Tipo strumento</v>
      <v t="s">Anno costituita</v>
      <v t="s">_Flags</v>
      <v t="s">UniqueName</v>
      <v t="s">_DisplayString</v>
      <v t="s">LearnMoreOnLink</v>
      <v t="s">ExchangeID</v>
      <v t="s">%ProviderInfo</v>
    </a>
    <a count="42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Prezzo</v>
      <v t="s">Exchange</v>
      <v t="s">Nome ufficiale</v>
      <v t="s">Orario ultima transazione</v>
      <v t="s">Simbolo dell'azione</v>
      <v t="s">Simbolo azionario</v>
      <v t="s">Variazione</v>
      <v t="s">Variazione (%)</v>
      <v t="s">Valuta</v>
      <v t="s">Chiusura precedente</v>
      <v t="s">Apri</v>
      <v t="s">Massimo</v>
      <v t="s">Minimo</v>
      <v t="s">Massimo in 52 settimane</v>
      <v t="s">Minimo di 52 settimane</v>
      <v t="s">Volume</v>
      <v t="s">Volume medio</v>
      <v t="s">Capitalizzazione di mercato</v>
      <v t="s">Beta</v>
      <v t="s">P/U</v>
      <v t="s">Azioni in circolazione</v>
      <v t="s">Descrizione</v>
      <v t="s">Dipendenti</v>
      <v t="s">Sede centrale</v>
      <v t="s">Settore</v>
      <v t="s">Tipo strumento</v>
      <v t="s">_Flags</v>
      <v t="s">UniqueName</v>
      <v t="s">_DisplayString</v>
      <v t="s">LearnMoreOnLink</v>
      <v t="s">ExchangeID</v>
      <v t="s">%ProviderInfo</v>
    </a>
  </spbArrays>
  <spbData count="10">
    <spb s="0">
      <v>P/E</v>
      <v>Open</v>
      <v>Beta</v>
      <v>Name</v>
      <v>Low</v>
      <v>Price</v>
      <v>Currency</v>
      <v>Volume</v>
      <v>High</v>
      <v>Industry</v>
      <v>Exchange</v>
      <v>Employees</v>
      <v>ExchangeID</v>
      <v>UniqueName</v>
      <v>Change</v>
      <v>Description</v>
      <v>Volume average</v>
      <v>%ProviderInfo</v>
      <v>Headquarters</v>
      <v>Official name</v>
      <v>Instrument type</v>
      <v>Change (%)</v>
      <v>Year incorporated</v>
      <v>LearnMoreOnLink</v>
      <v>Exchange abbreviation</v>
      <v>Previous close</v>
      <v>Ticker symbol</v>
      <v>Shares outstanding</v>
      <v>52 week low</v>
      <v>52 week high</v>
      <v>Last trade time</v>
      <v>Market cap</v>
    </spb>
    <spb s="1">
      <v>0</v>
      <v>Name</v>
      <v>LearnMoreOnLink</v>
    </spb>
    <spb s="2">
      <v>0</v>
      <v>0</v>
      <v>0</v>
    </spb>
    <spb s="3">
      <v>2</v>
      <v>2</v>
      <v>2</v>
      <v>2</v>
    </spb>
    <spb s="4">
      <v>1</v>
      <v>2</v>
      <v>1</v>
      <v>3</v>
      <v>2</v>
      <v>2</v>
      <v>4</v>
      <v>2</v>
      <v>4</v>
      <v>2</v>
      <v>4</v>
      <v>5</v>
      <v>6</v>
      <v>7</v>
      <v>2</v>
      <v>4</v>
      <v>2</v>
      <v>2</v>
      <v>8</v>
      <v>9</v>
    </spb>
    <spb s="5">
      <v>Ritardato di 15 minuti</v>
      <v xml:space="preserve">dalla chiusura precedente </v>
      <v xml:space="preserve">dalla chiusura precedente </v>
      <v>GMT</v>
    </spb>
    <spb s="6">
      <v>P/E</v>
      <v>Open</v>
      <v>Beta</v>
      <v>Name</v>
      <v>Low</v>
      <v>Price</v>
      <v>Currency</v>
      <v>Volume</v>
      <v>High</v>
      <v>Industry</v>
      <v>Exchange</v>
      <v>Employees</v>
      <v>ExchangeID</v>
      <v>UniqueName</v>
      <v>Change</v>
      <v>Description</v>
      <v>Volume average</v>
      <v>%ProviderInfo</v>
      <v>Headquarters</v>
      <v>Official name</v>
      <v>Instrument type</v>
      <v>Change (%)</v>
      <v>LearnMoreOnLink</v>
      <v>Exchange abbreviation</v>
      <v>Previous close</v>
      <v>Ticker symbol</v>
      <v>Shares outstanding</v>
      <v>52 week low</v>
      <v>52 week high</v>
      <v>Last trade time</v>
      <v>Market cap</v>
    </spb>
    <spb s="1">
      <v>1</v>
      <v>Name</v>
      <v>LearnMoreOnLink</v>
    </spb>
    <spb s="7">
      <v>1</v>
      <v>2</v>
      <v>1</v>
      <v>3</v>
      <v>2</v>
      <v>2</v>
      <v>4</v>
      <v>2</v>
      <v>4</v>
      <v>2</v>
      <v>4</v>
      <v>5</v>
      <v>7</v>
      <v>2</v>
      <v>4</v>
      <v>2</v>
      <v>2</v>
      <v>8</v>
      <v>9</v>
    </spb>
    <spb s="8">
      <v>Ritardato di 15 minuti</v>
      <v>Borsa Italia</v>
      <v xml:space="preserve">dalla chiusura precedente </v>
      <v xml:space="preserve">dalla chiusura precedente </v>
      <v>GMT</v>
    </spb>
  </spbData>
</supportingPropertyBags>
</file>

<file path=xl/richData/rdsupportingpropertybagstructure.xml><?xml version="1.0" encoding="utf-8"?>
<spbStructures xmlns="http://schemas.microsoft.com/office/spreadsheetml/2017/richdata2" count="9">
  <s>
    <k n="P/U" t="s"/>
    <k n="Apri" t="s"/>
    <k n="Beta" t="s"/>
    <k n="Nome" t="s"/>
    <k n="Minimo" t="s"/>
    <k n="Prezzo" t="s"/>
    <k n="Valuta" t="s"/>
    <k n="Volume" t="s"/>
    <k n="Massimo" t="s"/>
    <k n="Settore" t="s"/>
    <k n="Exchange" t="s"/>
    <k n="Dipendenti" t="s"/>
    <k n="ExchangeID" t="s"/>
    <k n="UniqueName" t="s"/>
    <k n="Variazione" t="s"/>
    <k n="Descrizione" t="s"/>
    <k n="Volume medio" t="s"/>
    <k n="%ProviderInfo" t="s"/>
    <k n="Sede centrale" t="s"/>
    <k n="Nome ufficiale" t="s"/>
    <k n="Tipo strumento" t="s"/>
    <k n="Variazione (%)" t="s"/>
    <k n="Anno costituita" t="s"/>
    <k n="LearnMoreOnLink" t="s"/>
    <k n="Simbolo azionario" t="s"/>
    <k n="Chiusura precedente" t="s"/>
    <k n="Simbolo dell'azione" t="s"/>
    <k n="Azioni in circolazione" t="s"/>
    <k n="Minimo di 52 settimane" t="s"/>
    <k n="Massimo in 52 settimane" t="s"/>
    <k n="Orario ultima transazione" t="s"/>
    <k n="Capitalizzazione di mercato" t="s"/>
  </s>
  <s>
    <k n="^Order" t="spba"/>
    <k n="TitleProperty" t="s"/>
    <k n="SubTitleProperty" t="s"/>
  </s>
  <s>
    <k n="ShowInCardView" t="b"/>
    <k n="ShowInDotNotation" t="b"/>
    <k n="ShowInAutoComplete" t="b"/>
  </s>
  <s>
    <k n="ExchangeID" t="spb"/>
    <k n="UniqueName" t="spb"/>
    <k n="`%ProviderInfo" t="spb"/>
    <k n="LearnMoreOnLink" t="spb"/>
  </s>
  <s>
    <k n="P/U" t="i"/>
    <k n="Apri" t="i"/>
    <k n="Beta" t="i"/>
    <k n="Nome" t="i"/>
    <k n="Minimo" t="i"/>
    <k n="Prezzo" t="i"/>
    <k n="Volume" t="i"/>
    <k n="Massimo" t="i"/>
    <k n="Dipendenti" t="i"/>
    <k n="Variazione" t="i"/>
    <k n="Volume medio" t="i"/>
    <k n="Variazione (%)" t="i"/>
    <k n="Anno costituita" t="i"/>
    <k n="`%EntityServiceId" t="i"/>
    <k n="Chiusura precedente" t="i"/>
    <k n="Azioni in circolazione" t="i"/>
    <k n="Minimo di 52 settimane" t="i"/>
    <k n="Massimo in 52 settimane" t="i"/>
    <k n="Orario ultima transazione" t="i"/>
    <k n="Capitalizzazione di mercato" t="i"/>
  </s>
  <s>
    <k n="Prezzo" t="s"/>
    <k n="Variazione" t="s"/>
    <k n="Variazione (%)" t="s"/>
    <k n="Orario ultima transazione" t="s"/>
  </s>
  <s>
    <k n="P/U" t="s"/>
    <k n="Apri" t="s"/>
    <k n="Beta" t="s"/>
    <k n="Nome" t="s"/>
    <k n="Minimo" t="s"/>
    <k n="Prezzo" t="s"/>
    <k n="Valuta" t="s"/>
    <k n="Volume" t="s"/>
    <k n="Massimo" t="s"/>
    <k n="Settore" t="s"/>
    <k n="Exchange" t="s"/>
    <k n="Dipendenti" t="s"/>
    <k n="ExchangeID" t="s"/>
    <k n="UniqueName" t="s"/>
    <k n="Variazione" t="s"/>
    <k n="Descrizione" t="s"/>
    <k n="Volume medio" t="s"/>
    <k n="%ProviderInfo" t="s"/>
    <k n="Sede centrale" t="s"/>
    <k n="Nome ufficiale" t="s"/>
    <k n="Tipo strumento" t="s"/>
    <k n="Variazione (%)" t="s"/>
    <k n="LearnMoreOnLink" t="s"/>
    <k n="Simbolo azionario" t="s"/>
    <k n="Chiusura precedente" t="s"/>
    <k n="Simbolo dell'azione" t="s"/>
    <k n="Azioni in circolazione" t="s"/>
    <k n="Minimo di 52 settimane" t="s"/>
    <k n="Massimo in 52 settimane" t="s"/>
    <k n="Orario ultima transazione" t="s"/>
    <k n="Capitalizzazione di mercato" t="s"/>
  </s>
  <s>
    <k n="P/U" t="i"/>
    <k n="Apri" t="i"/>
    <k n="Beta" t="i"/>
    <k n="Nome" t="i"/>
    <k n="Minimo" t="i"/>
    <k n="Prezzo" t="i"/>
    <k n="Volume" t="i"/>
    <k n="Massimo" t="i"/>
    <k n="Dipendenti" t="i"/>
    <k n="Variazione" t="i"/>
    <k n="Volume medio" t="i"/>
    <k n="Variazione (%)" t="i"/>
    <k n="`%EntityServiceId" t="i"/>
    <k n="Chiusura precedente" t="i"/>
    <k n="Azioni in circolazione" t="i"/>
    <k n="Minimo di 52 settimane" t="i"/>
    <k n="Massimo in 52 settimane" t="i"/>
    <k n="Orario ultima transazione" t="i"/>
    <k n="Capitalizzazione di mercato" t="i"/>
  </s>
  <s>
    <k n="Prezzo" t="s"/>
    <k n="ExchangeID" t="s"/>
    <k n="Variazione" t="s"/>
    <k n="Variazione (%)" t="s"/>
    <k n="Orario ultima transazion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7">
    <x:dxf>
      <x:numFmt numFmtId="2" formatCode="0.00"/>
    </x:dxf>
    <x:dxf>
      <x:numFmt numFmtId="0" formatCode="General"/>
    </x:dxf>
    <x:dxf>
      <x:numFmt numFmtId="27" formatCode="dd/mm/yyyy\ hh:mm"/>
    </x:dxf>
    <x:dxf>
      <x:numFmt numFmtId="14" formatCode="0.00%"/>
    </x:dxf>
    <x:dxf>
      <x:numFmt numFmtId="3" formatCode="#,##0"/>
    </x:dxf>
    <x:dxf>
      <x:numFmt numFmtId="4" formatCode="#,##0.00"/>
    </x:dxf>
    <x:dxf>
      <x:numFmt numFmtId="1" formatCode="0"/>
    </x:dxf>
  </dxfs>
  <richProperties>
    <rPr n="NumberFormat" t="s"/>
    <rPr n="IsTitleField" t="b"/>
  </richProperties>
  <richStyles>
    <rSty dxfid="5">
      <rpv i="0">#,##0.00</rpv>
    </rSty>
    <rSty dxfid="1">
      <rpv i="0">_([$€-x-euro2] * #,##0.00_);_([$€-x-euro2] * (#,##0.00);_([$€-x-euro2] * "-"??_);_(@_)</rpv>
    </rSty>
    <rSty>
      <rpv i="1">1</rpv>
    </rSty>
    <rSty dxfid="4">
      <rpv i="0">#,##0</rpv>
    </rSty>
    <rSty dxfid="3"/>
    <rSty dxfid="6">
      <rpv i="0">0</rpv>
    </rSty>
    <rSty dxfid="0">
      <rpv i="0">0.00</rpv>
    </rSty>
    <rSty dxfid="2"/>
    <rSty dxfid="1">
      <rpv i="0">_([$€-x-euro2] * #,##0_);_([$€-x-euro2] * (#,##0);_([$€-x-euro2] * "-"_);_(@_)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5AF7CB-FB5F-405C-B709-C3D65AF5D3B4}" name="Table1" displayName="Table1" ref="B3:P39" totalsRowShown="0" headerRowDxfId="25" dataDxfId="24">
  <autoFilter ref="B3:P39" xr:uid="{6C5AF7CB-FB5F-405C-B709-C3D65AF5D3B4}"/>
  <tableColumns count="15">
    <tableColumn id="1" xr3:uid="{4874A072-E997-476E-8DA8-47A2B5BD79FF}" name="DATA RILEVAMENTO" dataDxfId="23"/>
    <tableColumn id="2" xr3:uid="{F2D58418-22AF-435B-A859-E0D57145337F}" name="PREMIO PER IL RIMBORSO" dataDxfId="22"/>
    <tableColumn id="3" xr3:uid="{018AF9B0-8D8B-47AD-8A59-52B0FA59D1D8}" name="TRIGGER AUTOCALLABLE" dataDxfId="21"/>
    <tableColumn id="4" xr3:uid="{40D4BAF2-58BC-4E5D-AB19-F50C68675861}" name="CEDOLA" dataDxfId="20"/>
    <tableColumn id="5" xr3:uid="{B6D2584A-5A8D-4F9F-9254-2DA22336795F}" name="TRIGGER CEDOLA" dataDxfId="19"/>
    <tableColumn id="6" xr3:uid="{508E6FBA-69BA-49B1-ABB0-A33B6B243BF4}" name="NOTE"/>
    <tableColumn id="7" xr3:uid="{3703867C-6B3D-479F-877A-E9239488436C}" name="Deutsche Bank" dataDxfId="18"/>
    <tableColumn id="8" xr3:uid="{3170AB59-BEA0-451A-80DB-A33959E3E969}" name="Societe Generale" dataDxfId="17"/>
    <tableColumn id="9" xr3:uid="{FD2ED475-997A-42C2-B2D8-DED9BEB964A0}" name="Banca MPS" dataDxfId="16"/>
    <tableColumn id="10" xr3:uid="{05185082-6379-4BAD-A071-786B3AF75F37}" name="Commerzbank" dataDxfId="15"/>
    <tableColumn id="11" xr3:uid="{547DE2B8-C6B9-4238-AF4A-542AC4381976}" name="Deutsche Bank2" dataDxfId="14"/>
    <tableColumn id="12" xr3:uid="{F88E23B5-518E-44E1-B06A-028A846DB884}" name="Societe Generale3" dataDxfId="13"/>
    <tableColumn id="13" xr3:uid="{89A19E9F-F785-42BF-B1EE-036CD7F166F3}" name="Banca MPS4" dataDxfId="12"/>
    <tableColumn id="14" xr3:uid="{F2F69B1D-BEEE-4F44-B360-A64CA71EECF7}" name="Commerzbank5" dataDxfId="11"/>
    <tableColumn id="15" xr3:uid="{A3330A78-CE56-47DA-A5C3-67F79432B608}" name="Cedole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.certificatiederivati.it/db_bs_scheda_certificato.asp?isin=DE000VJ20861" TargetMode="External"/><Relationship Id="rId1" Type="http://schemas.openxmlformats.org/officeDocument/2006/relationships/hyperlink" Target="https://markets.vontobel.com/it-it/prodotti/investment/multi-cash-collect-certificate-con-barriera/DE000VJ208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08CE5-35C0-4534-BAA8-8336E95933C6}">
  <dimension ref="B1:P50"/>
  <sheetViews>
    <sheetView showGridLines="0" tabSelected="1" workbookViewId="0">
      <selection activeCell="I43" sqref="I43:I47"/>
    </sheetView>
  </sheetViews>
  <sheetFormatPr defaultRowHeight="14.5" x14ac:dyDescent="0.35"/>
  <cols>
    <col min="1" max="1" width="3.453125" customWidth="1"/>
    <col min="2" max="2" width="19.26953125" style="4" customWidth="1"/>
    <col min="3" max="3" width="24.26953125" style="1" customWidth="1"/>
    <col min="4" max="4" width="23.36328125" style="1" customWidth="1"/>
    <col min="5" max="5" width="9.6328125" style="1" customWidth="1"/>
    <col min="6" max="6" width="17.36328125" style="1" customWidth="1"/>
    <col min="7" max="7" width="47.81640625" customWidth="1"/>
    <col min="8" max="8" width="18" bestFit="1" customWidth="1"/>
    <col min="9" max="9" width="19.6328125" bestFit="1" customWidth="1"/>
    <col min="10" max="10" width="14.54296875" bestFit="1" customWidth="1"/>
    <col min="11" max="11" width="17.6328125" bestFit="1" customWidth="1"/>
    <col min="12" max="12" width="19" bestFit="1" customWidth="1"/>
    <col min="13" max="13" width="20.6328125" bestFit="1" customWidth="1"/>
    <col min="14" max="14" width="15.54296875" bestFit="1" customWidth="1"/>
    <col min="15" max="15" width="18.6328125" bestFit="1" customWidth="1"/>
    <col min="16" max="16" width="16.1796875" customWidth="1"/>
  </cols>
  <sheetData>
    <row r="1" spans="2:16" ht="19" thickBot="1" x14ac:dyDescent="0.5">
      <c r="B1" s="8" t="s">
        <v>21</v>
      </c>
      <c r="C1" s="9" t="s">
        <v>22</v>
      </c>
      <c r="H1" s="16" t="s">
        <v>20</v>
      </c>
      <c r="I1" s="17"/>
      <c r="J1" s="17"/>
      <c r="K1" s="18"/>
      <c r="L1" s="16" t="s">
        <v>19</v>
      </c>
      <c r="M1" s="17"/>
      <c r="N1" s="17"/>
      <c r="O1" s="18"/>
    </row>
    <row r="2" spans="2:16" x14ac:dyDescent="0.35">
      <c r="H2" s="6">
        <v>33.308</v>
      </c>
      <c r="I2" s="6">
        <v>69.39</v>
      </c>
      <c r="J2" s="6">
        <v>9.1590000000000007</v>
      </c>
      <c r="K2" s="6">
        <v>35.1</v>
      </c>
      <c r="L2" s="6">
        <v>33.308</v>
      </c>
      <c r="M2" s="6">
        <v>69.39</v>
      </c>
      <c r="N2" s="6">
        <v>9.1590000000000007</v>
      </c>
      <c r="O2" s="6">
        <v>35.1</v>
      </c>
    </row>
    <row r="3" spans="2:16" x14ac:dyDescent="0.35">
      <c r="B3" s="4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t="s">
        <v>7</v>
      </c>
      <c r="H3" s="1" t="s">
        <v>10</v>
      </c>
      <c r="I3" s="1" t="s">
        <v>12</v>
      </c>
      <c r="J3" s="1" t="s">
        <v>13</v>
      </c>
      <c r="K3" s="1" t="s">
        <v>14</v>
      </c>
      <c r="L3" s="7" t="s">
        <v>15</v>
      </c>
      <c r="M3" s="7" t="s">
        <v>16</v>
      </c>
      <c r="N3" s="7" t="s">
        <v>17</v>
      </c>
      <c r="O3" s="7" t="s">
        <v>18</v>
      </c>
      <c r="P3" s="1" t="s">
        <v>25</v>
      </c>
    </row>
    <row r="4" spans="2:16" x14ac:dyDescent="0.35">
      <c r="B4" s="5">
        <v>46065</v>
      </c>
      <c r="E4" s="3">
        <v>1.5800000000000002E-2</v>
      </c>
      <c r="F4" s="2">
        <v>0.95</v>
      </c>
      <c r="G4" t="s">
        <v>8</v>
      </c>
      <c r="H4" s="6">
        <f>+H$2*Table1[[#This Row],[TRIGGER CEDOLA]]</f>
        <v>31.642599999999998</v>
      </c>
      <c r="I4" s="6">
        <f>+I$2*Table1[[#This Row],[TRIGGER CEDOLA]]</f>
        <v>65.920500000000004</v>
      </c>
      <c r="J4" s="6">
        <f>+J$2*Table1[[#This Row],[TRIGGER CEDOLA]]</f>
        <v>8.7010500000000004</v>
      </c>
      <c r="K4" s="6">
        <f>+K$2*Table1[[#This Row],[TRIGGER CEDOLA]]</f>
        <v>33.344999999999999</v>
      </c>
      <c r="L4" s="6"/>
      <c r="M4" s="6"/>
      <c r="N4" s="6"/>
      <c r="O4" s="6"/>
      <c r="P4" s="1"/>
    </row>
    <row r="5" spans="2:16" x14ac:dyDescent="0.35">
      <c r="B5" s="5">
        <v>46093</v>
      </c>
      <c r="E5" s="3">
        <v>1.5800000000000002E-2</v>
      </c>
      <c r="F5" s="2">
        <v>0.94</v>
      </c>
      <c r="G5" t="s">
        <v>8</v>
      </c>
      <c r="H5" s="6">
        <f>+H$2*Table1[[#This Row],[TRIGGER CEDOLA]]</f>
        <v>31.309519999999999</v>
      </c>
      <c r="I5" s="6">
        <f>+I$2*Table1[[#This Row],[TRIGGER CEDOLA]]</f>
        <v>65.226599999999991</v>
      </c>
      <c r="J5" s="6">
        <f>+J$2*Table1[[#This Row],[TRIGGER CEDOLA]]</f>
        <v>8.6094600000000003</v>
      </c>
      <c r="K5" s="6">
        <f>+K$2*Table1[[#This Row],[TRIGGER CEDOLA]]</f>
        <v>32.994</v>
      </c>
      <c r="L5" s="6"/>
      <c r="M5" s="6"/>
      <c r="N5" s="6"/>
      <c r="O5" s="6"/>
      <c r="P5" s="1"/>
    </row>
    <row r="6" spans="2:16" x14ac:dyDescent="0.35">
      <c r="B6" s="5">
        <v>46125</v>
      </c>
      <c r="C6" s="3">
        <v>1.5800000000000002E-2</v>
      </c>
      <c r="D6" s="2">
        <v>1</v>
      </c>
      <c r="E6" s="3">
        <v>1.5800000000000002E-2</v>
      </c>
      <c r="F6" s="2">
        <v>0.93</v>
      </c>
      <c r="G6" t="s">
        <v>9</v>
      </c>
      <c r="H6" s="6">
        <f>+H$2*Table1[[#This Row],[TRIGGER CEDOLA]]</f>
        <v>30.97644</v>
      </c>
      <c r="I6" s="6">
        <f>+I$2*Table1[[#This Row],[TRIGGER CEDOLA]]</f>
        <v>64.532700000000006</v>
      </c>
      <c r="J6" s="6">
        <f>+J$2*Table1[[#This Row],[TRIGGER CEDOLA]]</f>
        <v>8.5178700000000003</v>
      </c>
      <c r="K6" s="6">
        <f>+K$2*Table1[[#This Row],[TRIGGER CEDOLA]]</f>
        <v>32.643000000000001</v>
      </c>
      <c r="L6" s="6">
        <f>+L$2*Table1[[#This Row],[TRIGGER AUTOCALLABLE]]</f>
        <v>33.308</v>
      </c>
      <c r="M6" s="6">
        <f>+M$2*Table1[[#This Row],[TRIGGER AUTOCALLABLE]]</f>
        <v>69.39</v>
      </c>
      <c r="N6" s="6">
        <f>+N$2*Table1[[#This Row],[TRIGGER AUTOCALLABLE]]</f>
        <v>9.1590000000000007</v>
      </c>
      <c r="O6" s="6">
        <f>+O$2*Table1[[#This Row],[TRIGGER AUTOCALLABLE]]</f>
        <v>35.1</v>
      </c>
      <c r="P6" s="6">
        <f>+Table1[[#This Row],[PREMIO PER IL RIMBORSO]]*100</f>
        <v>1.58</v>
      </c>
    </row>
    <row r="7" spans="2:16" x14ac:dyDescent="0.35">
      <c r="B7" s="5">
        <v>46154</v>
      </c>
      <c r="C7" s="3">
        <v>1.5800000000000002E-2</v>
      </c>
      <c r="D7" s="2">
        <v>1</v>
      </c>
      <c r="E7" s="3">
        <v>1.5800000000000002E-2</v>
      </c>
      <c r="F7" s="2">
        <v>0.92</v>
      </c>
      <c r="G7" t="s">
        <v>9</v>
      </c>
      <c r="H7" s="6">
        <f>+H$2*Table1[[#This Row],[TRIGGER CEDOLA]]</f>
        <v>30.643360000000001</v>
      </c>
      <c r="I7" s="6">
        <f>+I$2*Table1[[#This Row],[TRIGGER CEDOLA]]</f>
        <v>63.838800000000006</v>
      </c>
      <c r="J7" s="6">
        <f>+J$2*Table1[[#This Row],[TRIGGER CEDOLA]]</f>
        <v>8.4262800000000002</v>
      </c>
      <c r="K7" s="6">
        <f>+K$2*Table1[[#This Row],[TRIGGER CEDOLA]]</f>
        <v>32.292000000000002</v>
      </c>
      <c r="L7" s="6">
        <f>+L$2*Table1[[#This Row],[TRIGGER AUTOCALLABLE]]</f>
        <v>33.308</v>
      </c>
      <c r="M7" s="6">
        <f>+M$2*Table1[[#This Row],[TRIGGER AUTOCALLABLE]]</f>
        <v>69.39</v>
      </c>
      <c r="N7" s="6">
        <f>+N$2*Table1[[#This Row],[TRIGGER AUTOCALLABLE]]</f>
        <v>9.1590000000000007</v>
      </c>
      <c r="O7" s="6">
        <f>+O$2*Table1[[#This Row],[TRIGGER AUTOCALLABLE]]</f>
        <v>35.1</v>
      </c>
      <c r="P7" s="6">
        <f>+Table1[[#This Row],[PREMIO PER IL RIMBORSO]]*100+P6</f>
        <v>3.16</v>
      </c>
    </row>
    <row r="8" spans="2:16" x14ac:dyDescent="0.35">
      <c r="B8" s="5">
        <v>46185</v>
      </c>
      <c r="C8" s="3">
        <v>1.5800000000000002E-2</v>
      </c>
      <c r="D8" s="2">
        <v>0.99</v>
      </c>
      <c r="E8" s="3">
        <v>1.5800000000000002E-2</v>
      </c>
      <c r="F8" s="2">
        <v>0.91</v>
      </c>
      <c r="G8" t="s">
        <v>9</v>
      </c>
      <c r="H8" s="6">
        <f>+H$2*Table1[[#This Row],[TRIGGER CEDOLA]]</f>
        <v>30.310280000000002</v>
      </c>
      <c r="I8" s="6">
        <f>+I$2*Table1[[#This Row],[TRIGGER CEDOLA]]</f>
        <v>63.1449</v>
      </c>
      <c r="J8" s="6">
        <f>+J$2*Table1[[#This Row],[TRIGGER CEDOLA]]</f>
        <v>8.3346900000000002</v>
      </c>
      <c r="K8" s="6">
        <f>+K$2*Table1[[#This Row],[TRIGGER CEDOLA]]</f>
        <v>31.941000000000003</v>
      </c>
      <c r="L8" s="6">
        <f>+L$2*Table1[[#This Row],[TRIGGER AUTOCALLABLE]]</f>
        <v>32.974919999999997</v>
      </c>
      <c r="M8" s="6">
        <f>+M$2*Table1[[#This Row],[TRIGGER AUTOCALLABLE]]</f>
        <v>68.696100000000001</v>
      </c>
      <c r="N8" s="6">
        <f>+N$2*Table1[[#This Row],[TRIGGER AUTOCALLABLE]]</f>
        <v>9.0674100000000006</v>
      </c>
      <c r="O8" s="6">
        <f>+O$2*Table1[[#This Row],[TRIGGER AUTOCALLABLE]]</f>
        <v>34.749000000000002</v>
      </c>
      <c r="P8" s="6">
        <f>+Table1[[#This Row],[PREMIO PER IL RIMBORSO]]*100+P7</f>
        <v>4.74</v>
      </c>
    </row>
    <row r="9" spans="2:16" x14ac:dyDescent="0.35">
      <c r="B9" s="5">
        <v>46216</v>
      </c>
      <c r="C9" s="3">
        <v>1.5800000000000002E-2</v>
      </c>
      <c r="D9" s="2">
        <v>0.99</v>
      </c>
      <c r="E9" s="3">
        <v>1.5800000000000002E-2</v>
      </c>
      <c r="F9" s="2">
        <v>0.9</v>
      </c>
      <c r="G9" t="s">
        <v>9</v>
      </c>
      <c r="H9" s="6">
        <f>+H$2*Table1[[#This Row],[TRIGGER CEDOLA]]</f>
        <v>29.9772</v>
      </c>
      <c r="I9" s="6">
        <f>+I$2*Table1[[#This Row],[TRIGGER CEDOLA]]</f>
        <v>62.451000000000001</v>
      </c>
      <c r="J9" s="6">
        <f>+J$2*Table1[[#This Row],[TRIGGER CEDOLA]]</f>
        <v>8.2431000000000001</v>
      </c>
      <c r="K9" s="6">
        <f>+K$2*Table1[[#This Row],[TRIGGER CEDOLA]]</f>
        <v>31.590000000000003</v>
      </c>
      <c r="L9" s="6">
        <f>+L$2*Table1[[#This Row],[TRIGGER AUTOCALLABLE]]</f>
        <v>32.974919999999997</v>
      </c>
      <c r="M9" s="6">
        <f>+M$2*Table1[[#This Row],[TRIGGER AUTOCALLABLE]]</f>
        <v>68.696100000000001</v>
      </c>
      <c r="N9" s="6">
        <f>+N$2*Table1[[#This Row],[TRIGGER AUTOCALLABLE]]</f>
        <v>9.0674100000000006</v>
      </c>
      <c r="O9" s="6">
        <f>+O$2*Table1[[#This Row],[TRIGGER AUTOCALLABLE]]</f>
        <v>34.749000000000002</v>
      </c>
      <c r="P9" s="6">
        <f>+Table1[[#This Row],[PREMIO PER IL RIMBORSO]]*100+P8</f>
        <v>6.32</v>
      </c>
    </row>
    <row r="10" spans="2:16" x14ac:dyDescent="0.35">
      <c r="B10" s="5">
        <v>46246</v>
      </c>
      <c r="C10" s="3">
        <v>1.5800000000000002E-2</v>
      </c>
      <c r="D10" s="2">
        <v>0.98</v>
      </c>
      <c r="E10" s="3">
        <v>1.5800000000000002E-2</v>
      </c>
      <c r="F10" s="2">
        <v>0.89</v>
      </c>
      <c r="G10" t="s">
        <v>9</v>
      </c>
      <c r="H10" s="6">
        <f>+H$2*Table1[[#This Row],[TRIGGER CEDOLA]]</f>
        <v>29.644120000000001</v>
      </c>
      <c r="I10" s="6">
        <f>+I$2*Table1[[#This Row],[TRIGGER CEDOLA]]</f>
        <v>61.757100000000001</v>
      </c>
      <c r="J10" s="6">
        <f>+J$2*Table1[[#This Row],[TRIGGER CEDOLA]]</f>
        <v>8.15151</v>
      </c>
      <c r="K10" s="6">
        <f>+K$2*Table1[[#This Row],[TRIGGER CEDOLA]]</f>
        <v>31.239000000000001</v>
      </c>
      <c r="L10" s="6">
        <f>+L$2*Table1[[#This Row],[TRIGGER AUTOCALLABLE]]</f>
        <v>32.641840000000002</v>
      </c>
      <c r="M10" s="6">
        <f>+M$2*Table1[[#This Row],[TRIGGER AUTOCALLABLE]]</f>
        <v>68.002200000000002</v>
      </c>
      <c r="N10" s="6">
        <f>+N$2*Table1[[#This Row],[TRIGGER AUTOCALLABLE]]</f>
        <v>8.9758200000000006</v>
      </c>
      <c r="O10" s="6">
        <f>+O$2*Table1[[#This Row],[TRIGGER AUTOCALLABLE]]</f>
        <v>34.398000000000003</v>
      </c>
      <c r="P10" s="6">
        <f>+Table1[[#This Row],[PREMIO PER IL RIMBORSO]]*100+P9</f>
        <v>7.9</v>
      </c>
    </row>
    <row r="11" spans="2:16" x14ac:dyDescent="0.35">
      <c r="B11" s="5">
        <v>46279</v>
      </c>
      <c r="C11" s="3">
        <v>1.5800000000000002E-2</v>
      </c>
      <c r="D11" s="2">
        <v>0.98</v>
      </c>
      <c r="E11" s="3">
        <v>1.5800000000000002E-2</v>
      </c>
      <c r="F11" s="2">
        <v>0.88</v>
      </c>
      <c r="G11" t="s">
        <v>9</v>
      </c>
      <c r="H11" s="6">
        <f>+H$2*Table1[[#This Row],[TRIGGER CEDOLA]]</f>
        <v>29.311039999999998</v>
      </c>
      <c r="I11" s="6">
        <f>+I$2*Table1[[#This Row],[TRIGGER CEDOLA]]</f>
        <v>61.063200000000002</v>
      </c>
      <c r="J11" s="6">
        <f>+J$2*Table1[[#This Row],[TRIGGER CEDOLA]]</f>
        <v>8.05992</v>
      </c>
      <c r="K11" s="6">
        <f>+K$2*Table1[[#This Row],[TRIGGER CEDOLA]]</f>
        <v>30.888000000000002</v>
      </c>
      <c r="L11" s="6">
        <f>+L$2*Table1[[#This Row],[TRIGGER AUTOCALLABLE]]</f>
        <v>32.641840000000002</v>
      </c>
      <c r="M11" s="6">
        <f>+M$2*Table1[[#This Row],[TRIGGER AUTOCALLABLE]]</f>
        <v>68.002200000000002</v>
      </c>
      <c r="N11" s="6">
        <f>+N$2*Table1[[#This Row],[TRIGGER AUTOCALLABLE]]</f>
        <v>8.9758200000000006</v>
      </c>
      <c r="O11" s="6">
        <f>+O$2*Table1[[#This Row],[TRIGGER AUTOCALLABLE]]</f>
        <v>34.398000000000003</v>
      </c>
      <c r="P11" s="6">
        <f>+Table1[[#This Row],[PREMIO PER IL RIMBORSO]]*100+P10</f>
        <v>9.48</v>
      </c>
    </row>
    <row r="12" spans="2:16" x14ac:dyDescent="0.35">
      <c r="B12" s="5">
        <v>46307</v>
      </c>
      <c r="C12" s="3">
        <v>1.5800000000000002E-2</v>
      </c>
      <c r="D12" s="2">
        <v>0.97</v>
      </c>
      <c r="E12" s="3">
        <v>1.5800000000000002E-2</v>
      </c>
      <c r="F12" s="2">
        <v>0.87</v>
      </c>
      <c r="G12" t="s">
        <v>9</v>
      </c>
      <c r="H12" s="6">
        <f>+H$2*Table1[[#This Row],[TRIGGER CEDOLA]]</f>
        <v>28.977959999999999</v>
      </c>
      <c r="I12" s="6">
        <f>+I$2*Table1[[#This Row],[TRIGGER CEDOLA]]</f>
        <v>60.369300000000003</v>
      </c>
      <c r="J12" s="6">
        <f>+J$2*Table1[[#This Row],[TRIGGER CEDOLA]]</f>
        <v>7.9683300000000008</v>
      </c>
      <c r="K12" s="6">
        <f>+K$2*Table1[[#This Row],[TRIGGER CEDOLA]]</f>
        <v>30.537000000000003</v>
      </c>
      <c r="L12" s="6">
        <f>+L$2*Table1[[#This Row],[TRIGGER AUTOCALLABLE]]</f>
        <v>32.308759999999999</v>
      </c>
      <c r="M12" s="6">
        <f>+M$2*Table1[[#This Row],[TRIGGER AUTOCALLABLE]]</f>
        <v>67.308300000000003</v>
      </c>
      <c r="N12" s="6">
        <f>+N$2*Table1[[#This Row],[TRIGGER AUTOCALLABLE]]</f>
        <v>8.8842300000000005</v>
      </c>
      <c r="O12" s="6">
        <f>+O$2*Table1[[#This Row],[TRIGGER AUTOCALLABLE]]</f>
        <v>34.046999999999997</v>
      </c>
      <c r="P12" s="6">
        <f>+Table1[[#This Row],[PREMIO PER IL RIMBORSO]]*100+P11</f>
        <v>11.06</v>
      </c>
    </row>
    <row r="13" spans="2:16" x14ac:dyDescent="0.35">
      <c r="B13" s="5">
        <v>46338</v>
      </c>
      <c r="C13" s="3">
        <v>1.5800000000000002E-2</v>
      </c>
      <c r="D13" s="2">
        <v>0.97</v>
      </c>
      <c r="E13" s="3">
        <v>1.5800000000000002E-2</v>
      </c>
      <c r="F13" s="2">
        <v>0.86</v>
      </c>
      <c r="G13" t="s">
        <v>9</v>
      </c>
      <c r="H13" s="6">
        <f>+H$2*Table1[[#This Row],[TRIGGER CEDOLA]]</f>
        <v>28.644880000000001</v>
      </c>
      <c r="I13" s="6">
        <f>+I$2*Table1[[#This Row],[TRIGGER CEDOLA]]</f>
        <v>59.675399999999996</v>
      </c>
      <c r="J13" s="6">
        <f>+J$2*Table1[[#This Row],[TRIGGER CEDOLA]]</f>
        <v>7.8767400000000007</v>
      </c>
      <c r="K13" s="6">
        <f>+K$2*Table1[[#This Row],[TRIGGER CEDOLA]]</f>
        <v>30.186</v>
      </c>
      <c r="L13" s="6">
        <f>+L$2*Table1[[#This Row],[TRIGGER AUTOCALLABLE]]</f>
        <v>32.308759999999999</v>
      </c>
      <c r="M13" s="6">
        <f>+M$2*Table1[[#This Row],[TRIGGER AUTOCALLABLE]]</f>
        <v>67.308300000000003</v>
      </c>
      <c r="N13" s="6">
        <f>+N$2*Table1[[#This Row],[TRIGGER AUTOCALLABLE]]</f>
        <v>8.8842300000000005</v>
      </c>
      <c r="O13" s="6">
        <f>+O$2*Table1[[#This Row],[TRIGGER AUTOCALLABLE]]</f>
        <v>34.046999999999997</v>
      </c>
      <c r="P13" s="6">
        <f>+Table1[[#This Row],[PREMIO PER IL RIMBORSO]]*100+P12</f>
        <v>12.64</v>
      </c>
    </row>
    <row r="14" spans="2:16" x14ac:dyDescent="0.35">
      <c r="B14" s="5">
        <v>46370</v>
      </c>
      <c r="C14" s="3">
        <v>1.5800000000000002E-2</v>
      </c>
      <c r="D14" s="2">
        <v>0.96</v>
      </c>
      <c r="E14" s="3">
        <v>1.5800000000000002E-2</v>
      </c>
      <c r="F14" s="2">
        <v>0.85</v>
      </c>
      <c r="G14" t="s">
        <v>9</v>
      </c>
      <c r="H14" s="6">
        <f>+H$2*Table1[[#This Row],[TRIGGER CEDOLA]]</f>
        <v>28.311799999999998</v>
      </c>
      <c r="I14" s="6">
        <f>+I$2*Table1[[#This Row],[TRIGGER CEDOLA]]</f>
        <v>58.981499999999997</v>
      </c>
      <c r="J14" s="6">
        <f>+J$2*Table1[[#This Row],[TRIGGER CEDOLA]]</f>
        <v>7.7851500000000007</v>
      </c>
      <c r="K14" s="6">
        <f>+K$2*Table1[[#This Row],[TRIGGER CEDOLA]]</f>
        <v>29.835000000000001</v>
      </c>
      <c r="L14" s="6">
        <f>+L$2*Table1[[#This Row],[TRIGGER AUTOCALLABLE]]</f>
        <v>31.975679999999997</v>
      </c>
      <c r="M14" s="6">
        <f>+M$2*Table1[[#This Row],[TRIGGER AUTOCALLABLE]]</f>
        <v>66.614400000000003</v>
      </c>
      <c r="N14" s="6">
        <f>+N$2*Table1[[#This Row],[TRIGGER AUTOCALLABLE]]</f>
        <v>8.7926400000000005</v>
      </c>
      <c r="O14" s="6">
        <f>+O$2*Table1[[#This Row],[TRIGGER AUTOCALLABLE]]</f>
        <v>33.695999999999998</v>
      </c>
      <c r="P14" s="6">
        <f>+Table1[[#This Row],[PREMIO PER IL RIMBORSO]]*100+P13</f>
        <v>14.22</v>
      </c>
    </row>
    <row r="15" spans="2:16" x14ac:dyDescent="0.35">
      <c r="B15" s="5">
        <v>46399</v>
      </c>
      <c r="C15" s="3">
        <v>1.5800000000000002E-2</v>
      </c>
      <c r="D15" s="2">
        <v>0.96</v>
      </c>
      <c r="E15" s="3">
        <v>1.5800000000000002E-2</v>
      </c>
      <c r="F15" s="2">
        <v>0.84</v>
      </c>
      <c r="G15" t="s">
        <v>9</v>
      </c>
      <c r="H15" s="6">
        <f>+H$2*Table1[[#This Row],[TRIGGER CEDOLA]]</f>
        <v>27.978719999999999</v>
      </c>
      <c r="I15" s="6">
        <f>+I$2*Table1[[#This Row],[TRIGGER CEDOLA]]</f>
        <v>58.287599999999998</v>
      </c>
      <c r="J15" s="6">
        <f>+J$2*Table1[[#This Row],[TRIGGER CEDOLA]]</f>
        <v>7.6935600000000006</v>
      </c>
      <c r="K15" s="6">
        <f>+K$2*Table1[[#This Row],[TRIGGER CEDOLA]]</f>
        <v>29.484000000000002</v>
      </c>
      <c r="L15" s="6">
        <f>+L$2*Table1[[#This Row],[TRIGGER AUTOCALLABLE]]</f>
        <v>31.975679999999997</v>
      </c>
      <c r="M15" s="6">
        <f>+M$2*Table1[[#This Row],[TRIGGER AUTOCALLABLE]]</f>
        <v>66.614400000000003</v>
      </c>
      <c r="N15" s="6">
        <f>+N$2*Table1[[#This Row],[TRIGGER AUTOCALLABLE]]</f>
        <v>8.7926400000000005</v>
      </c>
      <c r="O15" s="6">
        <f>+O$2*Table1[[#This Row],[TRIGGER AUTOCALLABLE]]</f>
        <v>33.695999999999998</v>
      </c>
      <c r="P15" s="6">
        <f>+Table1[[#This Row],[PREMIO PER IL RIMBORSO]]*100+P14</f>
        <v>15.8</v>
      </c>
    </row>
    <row r="16" spans="2:16" x14ac:dyDescent="0.35">
      <c r="B16" s="5">
        <v>46430</v>
      </c>
      <c r="C16" s="3">
        <v>1.5800000000000002E-2</v>
      </c>
      <c r="D16" s="2">
        <v>0.95</v>
      </c>
      <c r="E16" s="3">
        <v>1.5800000000000002E-2</v>
      </c>
      <c r="F16" s="2">
        <v>0.83</v>
      </c>
      <c r="G16" t="s">
        <v>9</v>
      </c>
      <c r="H16" s="6">
        <f>+H$2*Table1[[#This Row],[TRIGGER CEDOLA]]</f>
        <v>27.64564</v>
      </c>
      <c r="I16" s="6">
        <f>+I$2*Table1[[#This Row],[TRIGGER CEDOLA]]</f>
        <v>57.593699999999998</v>
      </c>
      <c r="J16" s="6">
        <f>+J$2*Table1[[#This Row],[TRIGGER CEDOLA]]</f>
        <v>7.6019700000000006</v>
      </c>
      <c r="K16" s="6">
        <f>+K$2*Table1[[#This Row],[TRIGGER CEDOLA]]</f>
        <v>29.132999999999999</v>
      </c>
      <c r="L16" s="6">
        <f>+L$2*Table1[[#This Row],[TRIGGER AUTOCALLABLE]]</f>
        <v>31.642599999999998</v>
      </c>
      <c r="M16" s="6">
        <f>+M$2*Table1[[#This Row],[TRIGGER AUTOCALLABLE]]</f>
        <v>65.920500000000004</v>
      </c>
      <c r="N16" s="6">
        <f>+N$2*Table1[[#This Row],[TRIGGER AUTOCALLABLE]]</f>
        <v>8.7010500000000004</v>
      </c>
      <c r="O16" s="6">
        <f>+O$2*Table1[[#This Row],[TRIGGER AUTOCALLABLE]]</f>
        <v>33.344999999999999</v>
      </c>
      <c r="P16" s="6">
        <f>+Table1[[#This Row],[PREMIO PER IL RIMBORSO]]*100+P15</f>
        <v>17.380000000000003</v>
      </c>
    </row>
    <row r="17" spans="2:16" x14ac:dyDescent="0.35">
      <c r="B17" s="5">
        <v>46458</v>
      </c>
      <c r="C17" s="3">
        <v>1.5800000000000002E-2</v>
      </c>
      <c r="D17" s="2">
        <v>0.95</v>
      </c>
      <c r="E17" s="3">
        <v>1.5800000000000002E-2</v>
      </c>
      <c r="F17" s="2">
        <v>0.82</v>
      </c>
      <c r="G17" t="s">
        <v>9</v>
      </c>
      <c r="H17" s="6">
        <f>+H$2*Table1[[#This Row],[TRIGGER CEDOLA]]</f>
        <v>27.312559999999998</v>
      </c>
      <c r="I17" s="6">
        <f>+I$2*Table1[[#This Row],[TRIGGER CEDOLA]]</f>
        <v>56.899799999999999</v>
      </c>
      <c r="J17" s="6">
        <f>+J$2*Table1[[#This Row],[TRIGGER CEDOLA]]</f>
        <v>7.5103800000000005</v>
      </c>
      <c r="K17" s="6">
        <f>+K$2*Table1[[#This Row],[TRIGGER CEDOLA]]</f>
        <v>28.782</v>
      </c>
      <c r="L17" s="6">
        <f>+L$2*Table1[[#This Row],[TRIGGER AUTOCALLABLE]]</f>
        <v>31.642599999999998</v>
      </c>
      <c r="M17" s="6">
        <f>+M$2*Table1[[#This Row],[TRIGGER AUTOCALLABLE]]</f>
        <v>65.920500000000004</v>
      </c>
      <c r="N17" s="6">
        <f>+N$2*Table1[[#This Row],[TRIGGER AUTOCALLABLE]]</f>
        <v>8.7010500000000004</v>
      </c>
      <c r="O17" s="6">
        <f>+O$2*Table1[[#This Row],[TRIGGER AUTOCALLABLE]]</f>
        <v>33.344999999999999</v>
      </c>
      <c r="P17" s="6">
        <f>+Table1[[#This Row],[PREMIO PER IL RIMBORSO]]*100+P16</f>
        <v>18.96</v>
      </c>
    </row>
    <row r="18" spans="2:16" x14ac:dyDescent="0.35">
      <c r="B18" s="5">
        <v>46489</v>
      </c>
      <c r="C18" s="3">
        <v>1.5800000000000002E-2</v>
      </c>
      <c r="D18" s="2">
        <v>0.94</v>
      </c>
      <c r="E18" s="3">
        <v>1.5800000000000002E-2</v>
      </c>
      <c r="F18" s="2">
        <v>0.81</v>
      </c>
      <c r="G18" t="s">
        <v>9</v>
      </c>
      <c r="H18" s="6">
        <f>+H$2*Table1[[#This Row],[TRIGGER CEDOLA]]</f>
        <v>26.979480000000002</v>
      </c>
      <c r="I18" s="6">
        <f>+I$2*Table1[[#This Row],[TRIGGER CEDOLA]]</f>
        <v>56.205900000000007</v>
      </c>
      <c r="J18" s="6">
        <f>+J$2*Table1[[#This Row],[TRIGGER CEDOLA]]</f>
        <v>7.4187900000000013</v>
      </c>
      <c r="K18" s="6">
        <f>+K$2*Table1[[#This Row],[TRIGGER CEDOLA]]</f>
        <v>28.431000000000004</v>
      </c>
      <c r="L18" s="6">
        <f>+L$2*Table1[[#This Row],[TRIGGER AUTOCALLABLE]]</f>
        <v>31.309519999999999</v>
      </c>
      <c r="M18" s="6">
        <f>+M$2*Table1[[#This Row],[TRIGGER AUTOCALLABLE]]</f>
        <v>65.226599999999991</v>
      </c>
      <c r="N18" s="6">
        <f>+N$2*Table1[[#This Row],[TRIGGER AUTOCALLABLE]]</f>
        <v>8.6094600000000003</v>
      </c>
      <c r="O18" s="6">
        <f>+O$2*Table1[[#This Row],[TRIGGER AUTOCALLABLE]]</f>
        <v>32.994</v>
      </c>
      <c r="P18" s="6">
        <f>+Table1[[#This Row],[PREMIO PER IL RIMBORSO]]*100+P17</f>
        <v>20.54</v>
      </c>
    </row>
    <row r="19" spans="2:16" x14ac:dyDescent="0.35">
      <c r="B19" s="5">
        <v>46519</v>
      </c>
      <c r="C19" s="3">
        <v>1.5800000000000002E-2</v>
      </c>
      <c r="D19" s="2">
        <v>0.94</v>
      </c>
      <c r="E19" s="3">
        <v>1.5800000000000002E-2</v>
      </c>
      <c r="F19" s="2">
        <v>0.8</v>
      </c>
      <c r="G19" t="s">
        <v>9</v>
      </c>
      <c r="H19" s="6">
        <f>+H$2*Table1[[#This Row],[TRIGGER CEDOLA]]</f>
        <v>26.6464</v>
      </c>
      <c r="I19" s="6">
        <f>+I$2*Table1[[#This Row],[TRIGGER CEDOLA]]</f>
        <v>55.512</v>
      </c>
      <c r="J19" s="6">
        <f>+J$2*Table1[[#This Row],[TRIGGER CEDOLA]]</f>
        <v>7.3272000000000013</v>
      </c>
      <c r="K19" s="6">
        <f>+K$2*Table1[[#This Row],[TRIGGER CEDOLA]]</f>
        <v>28.080000000000002</v>
      </c>
      <c r="L19" s="6">
        <f>+L$2*Table1[[#This Row],[TRIGGER AUTOCALLABLE]]</f>
        <v>31.309519999999999</v>
      </c>
      <c r="M19" s="6">
        <f>+M$2*Table1[[#This Row],[TRIGGER AUTOCALLABLE]]</f>
        <v>65.226599999999991</v>
      </c>
      <c r="N19" s="6">
        <f>+N$2*Table1[[#This Row],[TRIGGER AUTOCALLABLE]]</f>
        <v>8.6094600000000003</v>
      </c>
      <c r="O19" s="6">
        <f>+O$2*Table1[[#This Row],[TRIGGER AUTOCALLABLE]]</f>
        <v>32.994</v>
      </c>
      <c r="P19" s="6">
        <f>+Table1[[#This Row],[PREMIO PER IL RIMBORSO]]*100+P18</f>
        <v>22.119999999999997</v>
      </c>
    </row>
    <row r="20" spans="2:16" x14ac:dyDescent="0.35">
      <c r="B20" s="5">
        <v>46552</v>
      </c>
      <c r="C20" s="3">
        <v>1.5800000000000002E-2</v>
      </c>
      <c r="D20" s="2">
        <v>0.93</v>
      </c>
      <c r="E20" s="3">
        <v>1.5800000000000002E-2</v>
      </c>
      <c r="F20" s="2">
        <v>0.79</v>
      </c>
      <c r="G20" t="s">
        <v>9</v>
      </c>
      <c r="H20" s="6">
        <f>+H$2*Table1[[#This Row],[TRIGGER CEDOLA]]</f>
        <v>26.313320000000001</v>
      </c>
      <c r="I20" s="6">
        <f>+I$2*Table1[[#This Row],[TRIGGER CEDOLA]]</f>
        <v>54.818100000000001</v>
      </c>
      <c r="J20" s="6">
        <f>+J$2*Table1[[#This Row],[TRIGGER CEDOLA]]</f>
        <v>7.2356100000000012</v>
      </c>
      <c r="K20" s="6">
        <f>+K$2*Table1[[#This Row],[TRIGGER CEDOLA]]</f>
        <v>27.729000000000003</v>
      </c>
      <c r="L20" s="6">
        <f>+L$2*Table1[[#This Row],[TRIGGER AUTOCALLABLE]]</f>
        <v>30.97644</v>
      </c>
      <c r="M20" s="6">
        <f>+M$2*Table1[[#This Row],[TRIGGER AUTOCALLABLE]]</f>
        <v>64.532700000000006</v>
      </c>
      <c r="N20" s="6">
        <f>+N$2*Table1[[#This Row],[TRIGGER AUTOCALLABLE]]</f>
        <v>8.5178700000000003</v>
      </c>
      <c r="O20" s="6">
        <f>+O$2*Table1[[#This Row],[TRIGGER AUTOCALLABLE]]</f>
        <v>32.643000000000001</v>
      </c>
      <c r="P20" s="6">
        <f>+Table1[[#This Row],[PREMIO PER IL RIMBORSO]]*100+P19</f>
        <v>23.699999999999996</v>
      </c>
    </row>
    <row r="21" spans="2:16" x14ac:dyDescent="0.35">
      <c r="B21" s="5">
        <v>46580</v>
      </c>
      <c r="C21" s="3">
        <v>1.5800000000000002E-2</v>
      </c>
      <c r="D21" s="2">
        <v>0.93</v>
      </c>
      <c r="E21" s="3">
        <v>1.5800000000000002E-2</v>
      </c>
      <c r="F21" s="2">
        <v>0.78</v>
      </c>
      <c r="G21" t="s">
        <v>9</v>
      </c>
      <c r="H21" s="6">
        <f>+H$2*Table1[[#This Row],[TRIGGER CEDOLA]]</f>
        <v>25.980240000000002</v>
      </c>
      <c r="I21" s="6">
        <f>+I$2*Table1[[#This Row],[TRIGGER CEDOLA]]</f>
        <v>54.124200000000002</v>
      </c>
      <c r="J21" s="6">
        <f>+J$2*Table1[[#This Row],[TRIGGER CEDOLA]]</f>
        <v>7.1440200000000011</v>
      </c>
      <c r="K21" s="6">
        <f>+K$2*Table1[[#This Row],[TRIGGER CEDOLA]]</f>
        <v>27.378000000000004</v>
      </c>
      <c r="L21" s="6">
        <f>+L$2*Table1[[#This Row],[TRIGGER AUTOCALLABLE]]</f>
        <v>30.97644</v>
      </c>
      <c r="M21" s="6">
        <f>+M$2*Table1[[#This Row],[TRIGGER AUTOCALLABLE]]</f>
        <v>64.532700000000006</v>
      </c>
      <c r="N21" s="6">
        <f>+N$2*Table1[[#This Row],[TRIGGER AUTOCALLABLE]]</f>
        <v>8.5178700000000003</v>
      </c>
      <c r="O21" s="6">
        <f>+O$2*Table1[[#This Row],[TRIGGER AUTOCALLABLE]]</f>
        <v>32.643000000000001</v>
      </c>
      <c r="P21" s="6">
        <f>+Table1[[#This Row],[PREMIO PER IL RIMBORSO]]*100+P20</f>
        <v>25.279999999999994</v>
      </c>
    </row>
    <row r="22" spans="2:16" x14ac:dyDescent="0.35">
      <c r="B22" s="5">
        <v>46611</v>
      </c>
      <c r="C22" s="3">
        <v>1.5800000000000002E-2</v>
      </c>
      <c r="D22" s="2">
        <v>0.92</v>
      </c>
      <c r="E22" s="3">
        <v>1.5800000000000002E-2</v>
      </c>
      <c r="F22" s="2">
        <v>0.77</v>
      </c>
      <c r="G22" t="s">
        <v>9</v>
      </c>
      <c r="H22" s="6">
        <f>+H$2*Table1[[#This Row],[TRIGGER CEDOLA]]</f>
        <v>25.64716</v>
      </c>
      <c r="I22" s="6">
        <f>+I$2*Table1[[#This Row],[TRIGGER CEDOLA]]</f>
        <v>53.430300000000003</v>
      </c>
      <c r="J22" s="6">
        <f>+J$2*Table1[[#This Row],[TRIGGER CEDOLA]]</f>
        <v>7.0524300000000011</v>
      </c>
      <c r="K22" s="6">
        <f>+K$2*Table1[[#This Row],[TRIGGER CEDOLA]]</f>
        <v>27.027000000000001</v>
      </c>
      <c r="L22" s="6">
        <f>+L$2*Table1[[#This Row],[TRIGGER AUTOCALLABLE]]</f>
        <v>30.643360000000001</v>
      </c>
      <c r="M22" s="6">
        <f>+M$2*Table1[[#This Row],[TRIGGER AUTOCALLABLE]]</f>
        <v>63.838800000000006</v>
      </c>
      <c r="N22" s="6">
        <f>+N$2*Table1[[#This Row],[TRIGGER AUTOCALLABLE]]</f>
        <v>8.4262800000000002</v>
      </c>
      <c r="O22" s="6">
        <f>+O$2*Table1[[#This Row],[TRIGGER AUTOCALLABLE]]</f>
        <v>32.292000000000002</v>
      </c>
      <c r="P22" s="6">
        <f>+Table1[[#This Row],[PREMIO PER IL RIMBORSO]]*100+P21</f>
        <v>26.859999999999992</v>
      </c>
    </row>
    <row r="23" spans="2:16" x14ac:dyDescent="0.35">
      <c r="B23" s="5">
        <v>46643</v>
      </c>
      <c r="C23" s="3">
        <v>1.5800000000000002E-2</v>
      </c>
      <c r="D23" s="2">
        <v>0.92</v>
      </c>
      <c r="E23" s="3">
        <v>1.5800000000000002E-2</v>
      </c>
      <c r="F23" s="2">
        <v>0.76</v>
      </c>
      <c r="G23" t="s">
        <v>9</v>
      </c>
      <c r="H23" s="6">
        <f>+H$2*Table1[[#This Row],[TRIGGER CEDOLA]]</f>
        <v>25.314080000000001</v>
      </c>
      <c r="I23" s="6">
        <f>+I$2*Table1[[#This Row],[TRIGGER CEDOLA]]</f>
        <v>52.736400000000003</v>
      </c>
      <c r="J23" s="6">
        <f>+J$2*Table1[[#This Row],[TRIGGER CEDOLA]]</f>
        <v>6.960840000000001</v>
      </c>
      <c r="K23" s="6">
        <f>+K$2*Table1[[#This Row],[TRIGGER CEDOLA]]</f>
        <v>26.676000000000002</v>
      </c>
      <c r="L23" s="6">
        <f>+L$2*Table1[[#This Row],[TRIGGER AUTOCALLABLE]]</f>
        <v>30.643360000000001</v>
      </c>
      <c r="M23" s="6">
        <f>+M$2*Table1[[#This Row],[TRIGGER AUTOCALLABLE]]</f>
        <v>63.838800000000006</v>
      </c>
      <c r="N23" s="6">
        <f>+N$2*Table1[[#This Row],[TRIGGER AUTOCALLABLE]]</f>
        <v>8.4262800000000002</v>
      </c>
      <c r="O23" s="6">
        <f>+O$2*Table1[[#This Row],[TRIGGER AUTOCALLABLE]]</f>
        <v>32.292000000000002</v>
      </c>
      <c r="P23" s="6">
        <f>+Table1[[#This Row],[PREMIO PER IL RIMBORSO]]*100+P22</f>
        <v>28.439999999999991</v>
      </c>
    </row>
    <row r="24" spans="2:16" x14ac:dyDescent="0.35">
      <c r="B24" s="5">
        <v>46672</v>
      </c>
      <c r="C24" s="3">
        <v>1.5800000000000002E-2</v>
      </c>
      <c r="D24" s="2">
        <v>0.91</v>
      </c>
      <c r="E24" s="3">
        <v>1.5800000000000002E-2</v>
      </c>
      <c r="F24" s="2">
        <v>0.75</v>
      </c>
      <c r="G24" t="s">
        <v>9</v>
      </c>
      <c r="H24" s="6">
        <f>+H$2*Table1[[#This Row],[TRIGGER CEDOLA]]</f>
        <v>24.981000000000002</v>
      </c>
      <c r="I24" s="6">
        <f>+I$2*Table1[[#This Row],[TRIGGER CEDOLA]]</f>
        <v>52.042500000000004</v>
      </c>
      <c r="J24" s="6">
        <f>+J$2*Table1[[#This Row],[TRIGGER CEDOLA]]</f>
        <v>6.869250000000001</v>
      </c>
      <c r="K24" s="6">
        <f>+K$2*Table1[[#This Row],[TRIGGER CEDOLA]]</f>
        <v>26.325000000000003</v>
      </c>
      <c r="L24" s="6">
        <f>+L$2*Table1[[#This Row],[TRIGGER AUTOCALLABLE]]</f>
        <v>30.310280000000002</v>
      </c>
      <c r="M24" s="6">
        <f>+M$2*Table1[[#This Row],[TRIGGER AUTOCALLABLE]]</f>
        <v>63.1449</v>
      </c>
      <c r="N24" s="6">
        <f>+N$2*Table1[[#This Row],[TRIGGER AUTOCALLABLE]]</f>
        <v>8.3346900000000002</v>
      </c>
      <c r="O24" s="6">
        <f>+O$2*Table1[[#This Row],[TRIGGER AUTOCALLABLE]]</f>
        <v>31.941000000000003</v>
      </c>
      <c r="P24" s="6">
        <f>+Table1[[#This Row],[PREMIO PER IL RIMBORSO]]*100+P23</f>
        <v>30.019999999999989</v>
      </c>
    </row>
    <row r="25" spans="2:16" x14ac:dyDescent="0.35">
      <c r="B25" s="5">
        <v>46703</v>
      </c>
      <c r="C25" s="3">
        <v>1.5800000000000002E-2</v>
      </c>
      <c r="D25" s="2">
        <v>0.91</v>
      </c>
      <c r="E25" s="3">
        <v>1.5800000000000002E-2</v>
      </c>
      <c r="F25" s="2">
        <v>0.74</v>
      </c>
      <c r="G25" t="s">
        <v>9</v>
      </c>
      <c r="H25" s="6">
        <f>+H$2*Table1[[#This Row],[TRIGGER CEDOLA]]</f>
        <v>24.647919999999999</v>
      </c>
      <c r="I25" s="6">
        <f>+I$2*Table1[[#This Row],[TRIGGER CEDOLA]]</f>
        <v>51.348599999999998</v>
      </c>
      <c r="J25" s="6">
        <f>+J$2*Table1[[#This Row],[TRIGGER CEDOLA]]</f>
        <v>6.77766</v>
      </c>
      <c r="K25" s="6">
        <f>+K$2*Table1[[#This Row],[TRIGGER CEDOLA]]</f>
        <v>25.974</v>
      </c>
      <c r="L25" s="6">
        <f>+L$2*Table1[[#This Row],[TRIGGER AUTOCALLABLE]]</f>
        <v>30.310280000000002</v>
      </c>
      <c r="M25" s="6">
        <f>+M$2*Table1[[#This Row],[TRIGGER AUTOCALLABLE]]</f>
        <v>63.1449</v>
      </c>
      <c r="N25" s="6">
        <f>+N$2*Table1[[#This Row],[TRIGGER AUTOCALLABLE]]</f>
        <v>8.3346900000000002</v>
      </c>
      <c r="O25" s="6">
        <f>+O$2*Table1[[#This Row],[TRIGGER AUTOCALLABLE]]</f>
        <v>31.941000000000003</v>
      </c>
      <c r="P25" s="6">
        <f>+Table1[[#This Row],[PREMIO PER IL RIMBORSO]]*100+P24</f>
        <v>31.599999999999987</v>
      </c>
    </row>
    <row r="26" spans="2:16" x14ac:dyDescent="0.35">
      <c r="B26" s="5">
        <v>46734</v>
      </c>
      <c r="C26" s="3">
        <v>1.5800000000000002E-2</v>
      </c>
      <c r="D26" s="2">
        <v>0.9</v>
      </c>
      <c r="E26" s="3">
        <v>1.5800000000000002E-2</v>
      </c>
      <c r="F26" s="2">
        <v>0.73</v>
      </c>
      <c r="G26" t="s">
        <v>9</v>
      </c>
      <c r="H26" s="6">
        <f>+H$2*Table1[[#This Row],[TRIGGER CEDOLA]]</f>
        <v>24.31484</v>
      </c>
      <c r="I26" s="6">
        <f>+I$2*Table1[[#This Row],[TRIGGER CEDOLA]]</f>
        <v>50.654699999999998</v>
      </c>
      <c r="J26" s="6">
        <f>+J$2*Table1[[#This Row],[TRIGGER CEDOLA]]</f>
        <v>6.68607</v>
      </c>
      <c r="K26" s="6">
        <f>+K$2*Table1[[#This Row],[TRIGGER CEDOLA]]</f>
        <v>25.623000000000001</v>
      </c>
      <c r="L26" s="6">
        <f>+L$2*Table1[[#This Row],[TRIGGER AUTOCALLABLE]]</f>
        <v>29.9772</v>
      </c>
      <c r="M26" s="6">
        <f>+M$2*Table1[[#This Row],[TRIGGER AUTOCALLABLE]]</f>
        <v>62.451000000000001</v>
      </c>
      <c r="N26" s="6">
        <f>+N$2*Table1[[#This Row],[TRIGGER AUTOCALLABLE]]</f>
        <v>8.2431000000000001</v>
      </c>
      <c r="O26" s="6">
        <f>+O$2*Table1[[#This Row],[TRIGGER AUTOCALLABLE]]</f>
        <v>31.590000000000003</v>
      </c>
      <c r="P26" s="6">
        <f>+Table1[[#This Row],[PREMIO PER IL RIMBORSO]]*100+P25</f>
        <v>33.179999999999986</v>
      </c>
    </row>
    <row r="27" spans="2:16" x14ac:dyDescent="0.35">
      <c r="B27" s="5">
        <v>46764</v>
      </c>
      <c r="C27" s="3">
        <v>1.5800000000000002E-2</v>
      </c>
      <c r="D27" s="2">
        <v>0.9</v>
      </c>
      <c r="E27" s="3">
        <v>1.5800000000000002E-2</v>
      </c>
      <c r="F27" s="2">
        <v>0.72</v>
      </c>
      <c r="G27" t="s">
        <v>9</v>
      </c>
      <c r="H27" s="6">
        <f>+H$2*Table1[[#This Row],[TRIGGER CEDOLA]]</f>
        <v>23.981759999999998</v>
      </c>
      <c r="I27" s="6">
        <f>+I$2*Table1[[#This Row],[TRIGGER CEDOLA]]</f>
        <v>49.960799999999999</v>
      </c>
      <c r="J27" s="6">
        <f>+J$2*Table1[[#This Row],[TRIGGER CEDOLA]]</f>
        <v>6.5944799999999999</v>
      </c>
      <c r="K27" s="6">
        <f>+K$2*Table1[[#This Row],[TRIGGER CEDOLA]]</f>
        <v>25.271999999999998</v>
      </c>
      <c r="L27" s="6">
        <f>+L$2*Table1[[#This Row],[TRIGGER AUTOCALLABLE]]</f>
        <v>29.9772</v>
      </c>
      <c r="M27" s="6">
        <f>+M$2*Table1[[#This Row],[TRIGGER AUTOCALLABLE]]</f>
        <v>62.451000000000001</v>
      </c>
      <c r="N27" s="6">
        <f>+N$2*Table1[[#This Row],[TRIGGER AUTOCALLABLE]]</f>
        <v>8.2431000000000001</v>
      </c>
      <c r="O27" s="6">
        <f>+O$2*Table1[[#This Row],[TRIGGER AUTOCALLABLE]]</f>
        <v>31.590000000000003</v>
      </c>
      <c r="P27" s="6">
        <f>+Table1[[#This Row],[PREMIO PER IL RIMBORSO]]*100+P26</f>
        <v>34.759999999999984</v>
      </c>
    </row>
    <row r="28" spans="2:16" x14ac:dyDescent="0.35">
      <c r="B28" s="5">
        <v>46797</v>
      </c>
      <c r="C28" s="3">
        <v>1.5800000000000002E-2</v>
      </c>
      <c r="D28" s="2">
        <v>0.89</v>
      </c>
      <c r="E28" s="3">
        <v>1.5800000000000002E-2</v>
      </c>
      <c r="F28" s="2">
        <v>0.71</v>
      </c>
      <c r="G28" t="s">
        <v>9</v>
      </c>
      <c r="H28" s="6">
        <f>+H$2*Table1[[#This Row],[TRIGGER CEDOLA]]</f>
        <v>23.648679999999999</v>
      </c>
      <c r="I28" s="6">
        <f>+I$2*Table1[[#This Row],[TRIGGER CEDOLA]]</f>
        <v>49.2669</v>
      </c>
      <c r="J28" s="6">
        <f>+J$2*Table1[[#This Row],[TRIGGER CEDOLA]]</f>
        <v>6.5028899999999998</v>
      </c>
      <c r="K28" s="6">
        <f>+K$2*Table1[[#This Row],[TRIGGER CEDOLA]]</f>
        <v>24.920999999999999</v>
      </c>
      <c r="L28" s="6">
        <f>+L$2*Table1[[#This Row],[TRIGGER AUTOCALLABLE]]</f>
        <v>29.644120000000001</v>
      </c>
      <c r="M28" s="6">
        <f>+M$2*Table1[[#This Row],[TRIGGER AUTOCALLABLE]]</f>
        <v>61.757100000000001</v>
      </c>
      <c r="N28" s="6">
        <f>+N$2*Table1[[#This Row],[TRIGGER AUTOCALLABLE]]</f>
        <v>8.15151</v>
      </c>
      <c r="O28" s="6">
        <f>+O$2*Table1[[#This Row],[TRIGGER AUTOCALLABLE]]</f>
        <v>31.239000000000001</v>
      </c>
      <c r="P28" s="6">
        <f>+Table1[[#This Row],[PREMIO PER IL RIMBORSO]]*100+P27</f>
        <v>36.339999999999982</v>
      </c>
    </row>
    <row r="29" spans="2:16" x14ac:dyDescent="0.35">
      <c r="B29" s="5">
        <v>46825</v>
      </c>
      <c r="C29" s="3">
        <v>1.5800000000000002E-2</v>
      </c>
      <c r="D29" s="2">
        <v>0.89</v>
      </c>
      <c r="E29" s="3">
        <v>1.5800000000000002E-2</v>
      </c>
      <c r="F29" s="2">
        <v>0.7</v>
      </c>
      <c r="G29" t="s">
        <v>9</v>
      </c>
      <c r="H29" s="6">
        <f>+H$2*Table1[[#This Row],[TRIGGER CEDOLA]]</f>
        <v>23.3156</v>
      </c>
      <c r="I29" s="6">
        <f>+I$2*Table1[[#This Row],[TRIGGER CEDOLA]]</f>
        <v>48.573</v>
      </c>
      <c r="J29" s="6">
        <f>+J$2*Table1[[#This Row],[TRIGGER CEDOLA]]</f>
        <v>6.4112999999999998</v>
      </c>
      <c r="K29" s="6">
        <f>+K$2*Table1[[#This Row],[TRIGGER CEDOLA]]</f>
        <v>24.57</v>
      </c>
      <c r="L29" s="6">
        <f>+L$2*Table1[[#This Row],[TRIGGER AUTOCALLABLE]]</f>
        <v>29.644120000000001</v>
      </c>
      <c r="M29" s="6">
        <f>+M$2*Table1[[#This Row],[TRIGGER AUTOCALLABLE]]</f>
        <v>61.757100000000001</v>
      </c>
      <c r="N29" s="6">
        <f>+N$2*Table1[[#This Row],[TRIGGER AUTOCALLABLE]]</f>
        <v>8.15151</v>
      </c>
      <c r="O29" s="6">
        <f>+O$2*Table1[[#This Row],[TRIGGER AUTOCALLABLE]]</f>
        <v>31.239000000000001</v>
      </c>
      <c r="P29" s="6">
        <f>+Table1[[#This Row],[PREMIO PER IL RIMBORSO]]*100+P28</f>
        <v>37.91999999999998</v>
      </c>
    </row>
    <row r="30" spans="2:16" x14ac:dyDescent="0.35">
      <c r="B30" s="5">
        <v>46853</v>
      </c>
      <c r="C30" s="3">
        <v>1.5800000000000002E-2</v>
      </c>
      <c r="D30" s="2">
        <v>0.88</v>
      </c>
      <c r="E30" s="3">
        <v>1.5800000000000002E-2</v>
      </c>
      <c r="F30" s="2">
        <v>0.69</v>
      </c>
      <c r="G30" t="s">
        <v>9</v>
      </c>
      <c r="H30" s="6">
        <f>+H$2*Table1[[#This Row],[TRIGGER CEDOLA]]</f>
        <v>22.982519999999997</v>
      </c>
      <c r="I30" s="6">
        <f>+I$2*Table1[[#This Row],[TRIGGER CEDOLA]]</f>
        <v>47.879099999999994</v>
      </c>
      <c r="J30" s="6">
        <f>+J$2*Table1[[#This Row],[TRIGGER CEDOLA]]</f>
        <v>6.3197099999999997</v>
      </c>
      <c r="K30" s="6">
        <f>+K$2*Table1[[#This Row],[TRIGGER CEDOLA]]</f>
        <v>24.218999999999998</v>
      </c>
      <c r="L30" s="6">
        <f>+L$2*Table1[[#This Row],[TRIGGER AUTOCALLABLE]]</f>
        <v>29.311039999999998</v>
      </c>
      <c r="M30" s="6">
        <f>+M$2*Table1[[#This Row],[TRIGGER AUTOCALLABLE]]</f>
        <v>61.063200000000002</v>
      </c>
      <c r="N30" s="6">
        <f>+N$2*Table1[[#This Row],[TRIGGER AUTOCALLABLE]]</f>
        <v>8.05992</v>
      </c>
      <c r="O30" s="6">
        <f>+O$2*Table1[[#This Row],[TRIGGER AUTOCALLABLE]]</f>
        <v>30.888000000000002</v>
      </c>
      <c r="P30" s="6">
        <f>+Table1[[#This Row],[PREMIO PER IL RIMBORSO]]*100+P29</f>
        <v>39.499999999999979</v>
      </c>
    </row>
    <row r="31" spans="2:16" x14ac:dyDescent="0.35">
      <c r="B31" s="5">
        <v>46885</v>
      </c>
      <c r="C31" s="3">
        <v>1.5800000000000002E-2</v>
      </c>
      <c r="D31" s="2">
        <v>0.88</v>
      </c>
      <c r="E31" s="3">
        <v>1.5800000000000002E-2</v>
      </c>
      <c r="F31" s="2">
        <v>0.68</v>
      </c>
      <c r="G31" t="s">
        <v>9</v>
      </c>
      <c r="H31" s="6">
        <f>+H$2*Table1[[#This Row],[TRIGGER CEDOLA]]</f>
        <v>22.649440000000002</v>
      </c>
      <c r="I31" s="6">
        <f>+I$2*Table1[[#This Row],[TRIGGER CEDOLA]]</f>
        <v>47.185200000000002</v>
      </c>
      <c r="J31" s="6">
        <f>+J$2*Table1[[#This Row],[TRIGGER CEDOLA]]</f>
        <v>6.2281200000000005</v>
      </c>
      <c r="K31" s="6">
        <f>+K$2*Table1[[#This Row],[TRIGGER CEDOLA]]</f>
        <v>23.868000000000002</v>
      </c>
      <c r="L31" s="6">
        <f>+L$2*Table1[[#This Row],[TRIGGER AUTOCALLABLE]]</f>
        <v>29.311039999999998</v>
      </c>
      <c r="M31" s="6">
        <f>+M$2*Table1[[#This Row],[TRIGGER AUTOCALLABLE]]</f>
        <v>61.063200000000002</v>
      </c>
      <c r="N31" s="6">
        <f>+N$2*Table1[[#This Row],[TRIGGER AUTOCALLABLE]]</f>
        <v>8.05992</v>
      </c>
      <c r="O31" s="6">
        <f>+O$2*Table1[[#This Row],[TRIGGER AUTOCALLABLE]]</f>
        <v>30.888000000000002</v>
      </c>
      <c r="P31" s="6">
        <f>+Table1[[#This Row],[PREMIO PER IL RIMBORSO]]*100+P30</f>
        <v>41.079999999999977</v>
      </c>
    </row>
    <row r="32" spans="2:16" x14ac:dyDescent="0.35">
      <c r="B32" s="5">
        <v>46916</v>
      </c>
      <c r="C32" s="3">
        <v>1.5800000000000002E-2</v>
      </c>
      <c r="D32" s="2">
        <v>0.87</v>
      </c>
      <c r="E32" s="3">
        <v>1.5800000000000002E-2</v>
      </c>
      <c r="F32" s="2">
        <v>0.67</v>
      </c>
      <c r="G32" t="s">
        <v>9</v>
      </c>
      <c r="H32" s="6">
        <f>+H$2*Table1[[#This Row],[TRIGGER CEDOLA]]</f>
        <v>22.31636</v>
      </c>
      <c r="I32" s="6">
        <f>+I$2*Table1[[#This Row],[TRIGGER CEDOLA]]</f>
        <v>46.491300000000003</v>
      </c>
      <c r="J32" s="6">
        <f>+J$2*Table1[[#This Row],[TRIGGER CEDOLA]]</f>
        <v>6.1365300000000005</v>
      </c>
      <c r="K32" s="6">
        <f>+K$2*Table1[[#This Row],[TRIGGER CEDOLA]]</f>
        <v>23.517000000000003</v>
      </c>
      <c r="L32" s="6">
        <f>+L$2*Table1[[#This Row],[TRIGGER AUTOCALLABLE]]</f>
        <v>28.977959999999999</v>
      </c>
      <c r="M32" s="6">
        <f>+M$2*Table1[[#This Row],[TRIGGER AUTOCALLABLE]]</f>
        <v>60.369300000000003</v>
      </c>
      <c r="N32" s="6">
        <f>+N$2*Table1[[#This Row],[TRIGGER AUTOCALLABLE]]</f>
        <v>7.9683300000000008</v>
      </c>
      <c r="O32" s="6">
        <f>+O$2*Table1[[#This Row],[TRIGGER AUTOCALLABLE]]</f>
        <v>30.537000000000003</v>
      </c>
      <c r="P32" s="6">
        <f>+Table1[[#This Row],[PREMIO PER IL RIMBORSO]]*100+P31</f>
        <v>42.659999999999975</v>
      </c>
    </row>
    <row r="33" spans="2:16" x14ac:dyDescent="0.35">
      <c r="B33" s="5">
        <v>46946</v>
      </c>
      <c r="C33" s="3">
        <v>1.5800000000000002E-2</v>
      </c>
      <c r="D33" s="2">
        <v>0.87</v>
      </c>
      <c r="E33" s="3">
        <v>1.5800000000000002E-2</v>
      </c>
      <c r="F33" s="2">
        <v>0.66</v>
      </c>
      <c r="G33" t="s">
        <v>9</v>
      </c>
      <c r="H33" s="6">
        <f>+H$2*Table1[[#This Row],[TRIGGER CEDOLA]]</f>
        <v>21.983280000000001</v>
      </c>
      <c r="I33" s="6">
        <f>+I$2*Table1[[#This Row],[TRIGGER CEDOLA]]</f>
        <v>45.797400000000003</v>
      </c>
      <c r="J33" s="6">
        <f>+J$2*Table1[[#This Row],[TRIGGER CEDOLA]]</f>
        <v>6.0449400000000004</v>
      </c>
      <c r="K33" s="6">
        <f>+K$2*Table1[[#This Row],[TRIGGER CEDOLA]]</f>
        <v>23.166</v>
      </c>
      <c r="L33" s="6">
        <f>+L$2*Table1[[#This Row],[TRIGGER AUTOCALLABLE]]</f>
        <v>28.977959999999999</v>
      </c>
      <c r="M33" s="6">
        <f>+M$2*Table1[[#This Row],[TRIGGER AUTOCALLABLE]]</f>
        <v>60.369300000000003</v>
      </c>
      <c r="N33" s="6">
        <f>+N$2*Table1[[#This Row],[TRIGGER AUTOCALLABLE]]</f>
        <v>7.9683300000000008</v>
      </c>
      <c r="O33" s="6">
        <f>+O$2*Table1[[#This Row],[TRIGGER AUTOCALLABLE]]</f>
        <v>30.537000000000003</v>
      </c>
      <c r="P33" s="6">
        <f>+Table1[[#This Row],[PREMIO PER IL RIMBORSO]]*100+P32</f>
        <v>44.239999999999974</v>
      </c>
    </row>
    <row r="34" spans="2:16" x14ac:dyDescent="0.35">
      <c r="B34" s="5">
        <v>46976</v>
      </c>
      <c r="C34" s="3">
        <v>1.5800000000000002E-2</v>
      </c>
      <c r="D34" s="2">
        <v>0.86</v>
      </c>
      <c r="E34" s="3">
        <v>1.5800000000000002E-2</v>
      </c>
      <c r="F34" s="2">
        <v>0.65</v>
      </c>
      <c r="G34" t="s">
        <v>9</v>
      </c>
      <c r="H34" s="6">
        <f>+H$2*Table1[[#This Row],[TRIGGER CEDOLA]]</f>
        <v>21.650200000000002</v>
      </c>
      <c r="I34" s="6">
        <f>+I$2*Table1[[#This Row],[TRIGGER CEDOLA]]</f>
        <v>45.103500000000004</v>
      </c>
      <c r="J34" s="6">
        <f>+J$2*Table1[[#This Row],[TRIGGER CEDOLA]]</f>
        <v>5.9533500000000004</v>
      </c>
      <c r="K34" s="6">
        <f>+K$2*Table1[[#This Row],[TRIGGER CEDOLA]]</f>
        <v>22.815000000000001</v>
      </c>
      <c r="L34" s="6">
        <f>+L$2*Table1[[#This Row],[TRIGGER AUTOCALLABLE]]</f>
        <v>28.644880000000001</v>
      </c>
      <c r="M34" s="6">
        <f>+M$2*Table1[[#This Row],[TRIGGER AUTOCALLABLE]]</f>
        <v>59.675399999999996</v>
      </c>
      <c r="N34" s="6">
        <f>+N$2*Table1[[#This Row],[TRIGGER AUTOCALLABLE]]</f>
        <v>7.8767400000000007</v>
      </c>
      <c r="O34" s="6">
        <f>+O$2*Table1[[#This Row],[TRIGGER AUTOCALLABLE]]</f>
        <v>30.186</v>
      </c>
      <c r="P34" s="6">
        <f>+Table1[[#This Row],[PREMIO PER IL RIMBORSO]]*100+P33</f>
        <v>45.819999999999972</v>
      </c>
    </row>
    <row r="35" spans="2:16" x14ac:dyDescent="0.35">
      <c r="B35" s="5">
        <v>47008</v>
      </c>
      <c r="C35" s="3">
        <v>1.5800000000000002E-2</v>
      </c>
      <c r="D35" s="2">
        <v>0.86</v>
      </c>
      <c r="E35" s="3">
        <v>1.5800000000000002E-2</v>
      </c>
      <c r="F35" s="2">
        <v>0.64</v>
      </c>
      <c r="G35" t="s">
        <v>9</v>
      </c>
      <c r="H35" s="6">
        <f>+H$2*Table1[[#This Row],[TRIGGER CEDOLA]]</f>
        <v>21.317119999999999</v>
      </c>
      <c r="I35" s="6">
        <f>+I$2*Table1[[#This Row],[TRIGGER CEDOLA]]</f>
        <v>44.409600000000005</v>
      </c>
      <c r="J35" s="6">
        <f>+J$2*Table1[[#This Row],[TRIGGER CEDOLA]]</f>
        <v>5.8617600000000003</v>
      </c>
      <c r="K35" s="6">
        <f>+K$2*Table1[[#This Row],[TRIGGER CEDOLA]]</f>
        <v>22.464000000000002</v>
      </c>
      <c r="L35" s="6">
        <f>+L$2*Table1[[#This Row],[TRIGGER AUTOCALLABLE]]</f>
        <v>28.644880000000001</v>
      </c>
      <c r="M35" s="6">
        <f>+M$2*Table1[[#This Row],[TRIGGER AUTOCALLABLE]]</f>
        <v>59.675399999999996</v>
      </c>
      <c r="N35" s="6">
        <f>+N$2*Table1[[#This Row],[TRIGGER AUTOCALLABLE]]</f>
        <v>7.8767400000000007</v>
      </c>
      <c r="O35" s="6">
        <f>+O$2*Table1[[#This Row],[TRIGGER AUTOCALLABLE]]</f>
        <v>30.186</v>
      </c>
      <c r="P35" s="6">
        <f>+Table1[[#This Row],[PREMIO PER IL RIMBORSO]]*100+P34</f>
        <v>47.39999999999997</v>
      </c>
    </row>
    <row r="36" spans="2:16" x14ac:dyDescent="0.35">
      <c r="B36" s="5">
        <v>47038</v>
      </c>
      <c r="C36" s="3">
        <v>1.5800000000000002E-2</v>
      </c>
      <c r="D36" s="2">
        <v>0.85</v>
      </c>
      <c r="E36" s="3">
        <v>1.5800000000000002E-2</v>
      </c>
      <c r="F36" s="2">
        <v>0.63</v>
      </c>
      <c r="G36" t="s">
        <v>9</v>
      </c>
      <c r="H36" s="6">
        <f>+H$2*Table1[[#This Row],[TRIGGER CEDOLA]]</f>
        <v>20.98404</v>
      </c>
      <c r="I36" s="6">
        <f>+I$2*Table1[[#This Row],[TRIGGER CEDOLA]]</f>
        <v>43.715699999999998</v>
      </c>
      <c r="J36" s="6">
        <f>+J$2*Table1[[#This Row],[TRIGGER CEDOLA]]</f>
        <v>5.7701700000000002</v>
      </c>
      <c r="K36" s="6">
        <f>+K$2*Table1[[#This Row],[TRIGGER CEDOLA]]</f>
        <v>22.113</v>
      </c>
      <c r="L36" s="6">
        <f>+L$2*Table1[[#This Row],[TRIGGER AUTOCALLABLE]]</f>
        <v>28.311799999999998</v>
      </c>
      <c r="M36" s="6">
        <f>+M$2*Table1[[#This Row],[TRIGGER AUTOCALLABLE]]</f>
        <v>58.981499999999997</v>
      </c>
      <c r="N36" s="6">
        <f>+N$2*Table1[[#This Row],[TRIGGER AUTOCALLABLE]]</f>
        <v>7.7851500000000007</v>
      </c>
      <c r="O36" s="6">
        <f>+O$2*Table1[[#This Row],[TRIGGER AUTOCALLABLE]]</f>
        <v>29.835000000000001</v>
      </c>
      <c r="P36" s="6">
        <f>+Table1[[#This Row],[PREMIO PER IL RIMBORSO]]*100+P35</f>
        <v>48.979999999999968</v>
      </c>
    </row>
    <row r="37" spans="2:16" x14ac:dyDescent="0.35">
      <c r="B37" s="5">
        <v>47070</v>
      </c>
      <c r="C37" s="3">
        <v>1.5800000000000002E-2</v>
      </c>
      <c r="D37" s="2">
        <v>0.85</v>
      </c>
      <c r="E37" s="3">
        <v>1.5800000000000002E-2</v>
      </c>
      <c r="F37" s="2">
        <v>0.62</v>
      </c>
      <c r="G37" t="s">
        <v>9</v>
      </c>
      <c r="H37" s="6">
        <f>+H$2*Table1[[#This Row],[TRIGGER CEDOLA]]</f>
        <v>20.650960000000001</v>
      </c>
      <c r="I37" s="6">
        <f>+I$2*Table1[[#This Row],[TRIGGER CEDOLA]]</f>
        <v>43.021799999999999</v>
      </c>
      <c r="J37" s="6">
        <f>+J$2*Table1[[#This Row],[TRIGGER CEDOLA]]</f>
        <v>5.6785800000000002</v>
      </c>
      <c r="K37" s="6">
        <f>+K$2*Table1[[#This Row],[TRIGGER CEDOLA]]</f>
        <v>21.762</v>
      </c>
      <c r="L37" s="6">
        <f>+L$2*Table1[[#This Row],[TRIGGER AUTOCALLABLE]]</f>
        <v>28.311799999999998</v>
      </c>
      <c r="M37" s="6">
        <f>+M$2*Table1[[#This Row],[TRIGGER AUTOCALLABLE]]</f>
        <v>58.981499999999997</v>
      </c>
      <c r="N37" s="6">
        <f>+N$2*Table1[[#This Row],[TRIGGER AUTOCALLABLE]]</f>
        <v>7.7851500000000007</v>
      </c>
      <c r="O37" s="6">
        <f>+O$2*Table1[[#This Row],[TRIGGER AUTOCALLABLE]]</f>
        <v>29.835000000000001</v>
      </c>
      <c r="P37" s="6">
        <f>+Table1[[#This Row],[PREMIO PER IL RIMBORSO]]*100+P36</f>
        <v>50.559999999999967</v>
      </c>
    </row>
    <row r="38" spans="2:16" x14ac:dyDescent="0.35">
      <c r="B38" s="5">
        <v>47099</v>
      </c>
      <c r="C38" s="3">
        <v>1.5800000000000002E-2</v>
      </c>
      <c r="D38" s="2">
        <v>0.84</v>
      </c>
      <c r="E38" s="3">
        <v>1.5800000000000002E-2</v>
      </c>
      <c r="F38" s="2">
        <v>0.61</v>
      </c>
      <c r="G38" t="s">
        <v>9</v>
      </c>
      <c r="H38" s="6">
        <f>+H$2*Table1[[#This Row],[TRIGGER CEDOLA]]</f>
        <v>20.317879999999999</v>
      </c>
      <c r="I38" s="6">
        <f>+I$2*Table1[[#This Row],[TRIGGER CEDOLA]]</f>
        <v>42.3279</v>
      </c>
      <c r="J38" s="6">
        <f>+J$2*Table1[[#This Row],[TRIGGER CEDOLA]]</f>
        <v>5.5869900000000001</v>
      </c>
      <c r="K38" s="6">
        <f>+K$2*Table1[[#This Row],[TRIGGER CEDOLA]]</f>
        <v>21.411000000000001</v>
      </c>
      <c r="L38" s="6">
        <f>+L$2*Table1[[#This Row],[TRIGGER AUTOCALLABLE]]</f>
        <v>27.978719999999999</v>
      </c>
      <c r="M38" s="6">
        <f>+M$2*Table1[[#This Row],[TRIGGER AUTOCALLABLE]]</f>
        <v>58.287599999999998</v>
      </c>
      <c r="N38" s="6">
        <f>+N$2*Table1[[#This Row],[TRIGGER AUTOCALLABLE]]</f>
        <v>7.6935600000000006</v>
      </c>
      <c r="O38" s="6">
        <f>+O$2*Table1[[#This Row],[TRIGGER AUTOCALLABLE]]</f>
        <v>29.484000000000002</v>
      </c>
      <c r="P38" s="6">
        <f>+Table1[[#This Row],[PREMIO PER IL RIMBORSO]]*100+P37</f>
        <v>52.139999999999965</v>
      </c>
    </row>
    <row r="39" spans="2:16" x14ac:dyDescent="0.35">
      <c r="B39" s="5">
        <v>47130</v>
      </c>
      <c r="C39" s="3">
        <v>1.5800000000000002E-2</v>
      </c>
      <c r="D39" s="2">
        <v>0.6</v>
      </c>
      <c r="H39" s="1"/>
      <c r="I39" s="1"/>
      <c r="J39" s="1"/>
      <c r="K39" s="1"/>
      <c r="L39" s="1"/>
      <c r="M39" s="1"/>
      <c r="N39" s="1"/>
      <c r="O39" s="1"/>
      <c r="P39" s="1"/>
    </row>
    <row r="43" spans="2:16" x14ac:dyDescent="0.35">
      <c r="G43" s="15" t="s">
        <v>24</v>
      </c>
      <c r="H43" s="15" t="s">
        <v>1</v>
      </c>
      <c r="I43" s="15" t="s">
        <v>0</v>
      </c>
      <c r="J43" s="14">
        <v>0.6</v>
      </c>
      <c r="K43" s="15" t="s">
        <v>23</v>
      </c>
      <c r="L43" s="15" t="s">
        <v>26</v>
      </c>
    </row>
    <row r="44" spans="2:16" x14ac:dyDescent="0.35">
      <c r="G44" s="12" t="e" vm="1">
        <v>#VALUE!</v>
      </c>
      <c r="H44" s="13" cm="1">
        <f t="array" aca="1" ref="H44" ca="1">_FV(G44,"Prezzo")</f>
        <v>25.305</v>
      </c>
      <c r="I44" s="13">
        <v>33.308</v>
      </c>
      <c r="J44" s="13">
        <f>+$J$43*I44</f>
        <v>19.9848</v>
      </c>
      <c r="K44" s="11">
        <f ca="1">+(H44-J44)/H44</f>
        <v>0.21024303497332542</v>
      </c>
      <c r="L44" s="11">
        <f ca="1">+(H44-I44)/I44</f>
        <v>-0.2402726071814579</v>
      </c>
      <c r="M44" s="1">
        <f ca="1">IFERROR(_xlfn.XMATCH(_xlfn.MAXIFS(Table1[Deutsche Bank],Table1[Deutsche Bank], "&lt;"&amp;H44), Table1[Deutsche Bank]),0)</f>
        <v>21</v>
      </c>
    </row>
    <row r="45" spans="2:16" x14ac:dyDescent="0.35">
      <c r="G45" s="12" t="e" vm="2">
        <v>#VALUE!</v>
      </c>
      <c r="H45" s="13" cm="1">
        <f t="array" aca="1" ref="H45" ca="1">_FV(G45,"Prezzo")</f>
        <v>63.38</v>
      </c>
      <c r="I45" s="13">
        <v>69.39</v>
      </c>
      <c r="J45" s="13">
        <f t="shared" ref="J45:J47" si="0">+$J$43*I45</f>
        <v>41.634</v>
      </c>
      <c r="K45" s="11">
        <f t="shared" ref="K45:K47" ca="1" si="1">+(H45-J45)/H45</f>
        <v>0.34310508046702431</v>
      </c>
      <c r="L45" s="11">
        <f t="shared" ref="L45:L47" ca="1" si="2">+(H45-I45)/I45</f>
        <v>-8.6611903732526266E-2</v>
      </c>
      <c r="M45" s="1">
        <f ca="1">IFERROR(_xlfn.XMATCH(_xlfn.MAXIFS(Table1[Societe Generale],Table1[Societe Generale], "&lt;"&amp;H45), Table1[Societe Generale]),0)</f>
        <v>5</v>
      </c>
    </row>
    <row r="46" spans="2:16" x14ac:dyDescent="0.35">
      <c r="G46" s="12" t="e" vm="3">
        <v>#VALUE!</v>
      </c>
      <c r="H46" s="13" cm="1">
        <f t="array" aca="1" ref="H46" ca="1">_FV(G46,"Prezzo")</f>
        <v>7.4909999999999997</v>
      </c>
      <c r="I46" s="13">
        <v>9.1590000000000007</v>
      </c>
      <c r="J46" s="13">
        <f t="shared" si="0"/>
        <v>5.4954000000000001</v>
      </c>
      <c r="K46" s="11">
        <f t="shared" ca="1" si="1"/>
        <v>0.26639967961553862</v>
      </c>
      <c r="L46" s="11">
        <f t="shared" ca="1" si="2"/>
        <v>-0.18211595152309215</v>
      </c>
      <c r="M46" s="1">
        <f ca="1">IFERROR(_xlfn.XMATCH(_xlfn.MAXIFS(Table1[Banca MPS],Table1[Banca MPS], "&lt;"&amp;H46), Table1[Banca MPS]),0)</f>
        <v>15</v>
      </c>
    </row>
    <row r="47" spans="2:16" x14ac:dyDescent="0.35">
      <c r="G47" s="12" t="e" vm="4">
        <v>#VALUE!</v>
      </c>
      <c r="H47" s="13" cm="1">
        <f t="array" aca="1" ref="H47" ca="1">_FV(G47,"Prezzo")</f>
        <v>31.73</v>
      </c>
      <c r="I47" s="13">
        <v>35.1</v>
      </c>
      <c r="J47" s="13">
        <f t="shared" si="0"/>
        <v>21.06</v>
      </c>
      <c r="K47" s="11">
        <f t="shared" ca="1" si="1"/>
        <v>0.3362748187834857</v>
      </c>
      <c r="L47" s="11">
        <f t="shared" ca="1" si="2"/>
        <v>-9.6011396011396036E-2</v>
      </c>
      <c r="M47" s="1">
        <f ca="1">IFERROR(_xlfn.XMATCH(_xlfn.MAXIFS(Table1[Commerzbank],Table1[Commerzbank], "&lt;"&amp;H47), Table1[Commerzbank]),0)</f>
        <v>6</v>
      </c>
    </row>
    <row r="48" spans="2:16" x14ac:dyDescent="0.35">
      <c r="I48" s="1" t="s">
        <v>11</v>
      </c>
    </row>
    <row r="49" spans="9:10" x14ac:dyDescent="0.35">
      <c r="I49" t="s">
        <v>11</v>
      </c>
    </row>
    <row r="50" spans="9:10" x14ac:dyDescent="0.35">
      <c r="I50" s="10"/>
      <c r="J50" s="10"/>
    </row>
  </sheetData>
  <mergeCells count="2">
    <mergeCell ref="H1:K1"/>
    <mergeCell ref="L1:O1"/>
  </mergeCells>
  <conditionalFormatting sqref="B4:B39">
    <cfRule type="expression" dxfId="9" priority="8">
      <formula>AND(B4&gt;TODAY(),B3&lt;TODAY())</formula>
    </cfRule>
  </conditionalFormatting>
  <conditionalFormatting sqref="C4:C39">
    <cfRule type="expression" dxfId="8" priority="7">
      <formula>AND(B4&gt;TODAY(),B3&lt;TODAY())</formula>
    </cfRule>
  </conditionalFormatting>
  <conditionalFormatting sqref="H4:H38">
    <cfRule type="expression" dxfId="7" priority="12">
      <formula>H4 &lt; $H$44</formula>
    </cfRule>
  </conditionalFormatting>
  <conditionalFormatting sqref="I4:I38">
    <cfRule type="expression" dxfId="6" priority="11">
      <formula>I4 &lt; $H$45</formula>
    </cfRule>
  </conditionalFormatting>
  <conditionalFormatting sqref="J4:J38">
    <cfRule type="expression" dxfId="5" priority="10">
      <formula>J4 &lt; $H$46</formula>
    </cfRule>
  </conditionalFormatting>
  <conditionalFormatting sqref="K4:K38">
    <cfRule type="expression" dxfId="4" priority="9">
      <formula>K4 &lt; $H$47</formula>
    </cfRule>
  </conditionalFormatting>
  <conditionalFormatting sqref="K44:K47">
    <cfRule type="dataBar" priority="2">
      <dataBar>
        <cfvo type="min"/>
        <cfvo type="num" val="0.4"/>
        <color rgb="FFFFB628"/>
      </dataBar>
      <extLst>
        <ext xmlns:x14="http://schemas.microsoft.com/office/spreadsheetml/2009/9/main" uri="{B025F937-C7B1-47D3-B67F-A62EFF666E3E}">
          <x14:id>{B4B6C433-813C-49F4-BF68-6601C1A84E14}</x14:id>
        </ext>
      </extLst>
    </cfRule>
  </conditionalFormatting>
  <conditionalFormatting sqref="L6:L38">
    <cfRule type="expression" dxfId="3" priority="6">
      <formula>$H$44 &gt; L6</formula>
    </cfRule>
  </conditionalFormatting>
  <conditionalFormatting sqref="L44:L47">
    <cfRule type="dataBar" priority="1">
      <dataBar>
        <cfvo type="num" val="-0.4"/>
        <cfvo type="num" val="0.4"/>
        <color rgb="FFFFB628"/>
      </dataBar>
      <extLst>
        <ext xmlns:x14="http://schemas.microsoft.com/office/spreadsheetml/2009/9/main" uri="{B025F937-C7B1-47D3-B67F-A62EFF666E3E}">
          <x14:id>{0DCAF052-F83B-4AFC-AF17-4963F66BDA4D}</x14:id>
        </ext>
      </extLst>
    </cfRule>
  </conditionalFormatting>
  <conditionalFormatting sqref="M6:M38">
    <cfRule type="expression" dxfId="2" priority="5">
      <formula>$H$45 &gt; M6</formula>
    </cfRule>
  </conditionalFormatting>
  <conditionalFormatting sqref="N6:N38">
    <cfRule type="expression" dxfId="1" priority="4">
      <formula>$H$46 &gt; N6</formula>
    </cfRule>
  </conditionalFormatting>
  <conditionalFormatting sqref="O6:O38">
    <cfRule type="expression" dxfId="0" priority="3">
      <formula>$H$47 &gt; O6</formula>
    </cfRule>
  </conditionalFormatting>
  <hyperlinks>
    <hyperlink ref="C1" r:id="rId1" xr:uid="{D53E08D8-9C87-452A-9F6B-09E65082CB37}"/>
    <hyperlink ref="B1" r:id="rId2" xr:uid="{60A1C1CA-45DF-4C4C-A6E4-7D236EE3D3CD}"/>
  </hyperlinks>
  <pageMargins left="0.7" right="0.7" top="0.75" bottom="0.75" header="0.3" footer="0.3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B6C433-813C-49F4-BF68-6601C1A84E14}">
            <x14:dataBar minLength="0" maxLength="100" border="1" negativeBarBorderColorSameAsPositive="0">
              <x14:cfvo type="autoMin"/>
              <x14:cfvo type="num">
                <xm:f>0.4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K44:K47</xm:sqref>
        </x14:conditionalFormatting>
        <x14:conditionalFormatting xmlns:xm="http://schemas.microsoft.com/office/excel/2006/main">
          <x14:cfRule type="dataBar" id="{0DCAF052-F83B-4AFC-AF17-4963F66BDA4D}">
            <x14:dataBar minLength="0" maxLength="100" border="1" negativeBarBorderColorSameAsPositive="0">
              <x14:cfvo type="num">
                <xm:f>-0.4</xm:f>
              </x14:cfvo>
              <x14:cfvo type="num">
                <xm:f>0.4</xm:f>
              </x14:cfvo>
              <x14:borderColor rgb="FFFFB628"/>
              <x14:negativeFillColor theme="5" tint="0.59999389629810485"/>
              <x14:negativeBorderColor theme="5" tint="0.39997558519241921"/>
              <x14:axisColor rgb="FF000000"/>
            </x14:dataBar>
          </x14:cfRule>
          <xm:sqref>L44:L47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DE000VJ20861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2026-03-26T08:46:35Z</dcterms:created>
  <dcterms:modified xsi:type="dcterms:W3CDTF">2026-03-26T17:03:07Z</dcterms:modified>
</cp:coreProperties>
</file>