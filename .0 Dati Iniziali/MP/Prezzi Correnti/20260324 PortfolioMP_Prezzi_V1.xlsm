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MP\Prezzi Correnti\"/>
    </mc:Choice>
  </mc:AlternateContent>
  <xr:revisionPtr revIDLastSave="0" documentId="8_{03E1D080-765E-46A4-9D5D-9EACF28E2C6B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" i="1"/>
  <c r="F3" i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I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<sst xmlns="http://schemas.openxmlformats.org/spreadsheetml/2006/main" count="62" uniqueCount="46">
  <si>
    <t>ISIN</t>
  </si>
  <si>
    <t>Quantità</t>
  </si>
  <si>
    <t>Divisa</t>
  </si>
  <si>
    <t>Prezzo Carico (EUR)</t>
  </si>
  <si>
    <t>Prezzo Corrente (EUR)</t>
  </si>
  <si>
    <t>LU0345361124</t>
  </si>
  <si>
    <t>FID ASIA AGGR AC EUR</t>
  </si>
  <si>
    <t>BTP01.03.22-01.04.27</t>
  </si>
  <si>
    <t>H2O MULTIBONDS R EUR</t>
  </si>
  <si>
    <t>H2O MULTISTRATEGIES</t>
  </si>
  <si>
    <t>FID GLO QLTY USD EUR</t>
  </si>
  <si>
    <t>ISHS MSCI WORLD EUR</t>
  </si>
  <si>
    <t>M&amp;G EUROP STRA VAL A</t>
  </si>
  <si>
    <t>MSIF GL BRDS AC</t>
  </si>
  <si>
    <t>MSIF GL OPP AC</t>
  </si>
  <si>
    <t>N1 CLIM ENV EQ B EUR</t>
  </si>
  <si>
    <t>N1 EUR BANK D BP EUR</t>
  </si>
  <si>
    <t>SISF ASIAN OP AC EUR</t>
  </si>
  <si>
    <t>XTRACKERS INFORM EUR</t>
  </si>
  <si>
    <t>AMUNDI ELTIF PIR AP</t>
  </si>
  <si>
    <t>BSKT/BNPI 28</t>
  </si>
  <si>
    <t>GLB X SILV USD-A EUR</t>
  </si>
  <si>
    <t>VON EXPE28</t>
  </si>
  <si>
    <t>VON EXPE29</t>
  </si>
  <si>
    <t>IT0005484552</t>
  </si>
  <si>
    <t>FR0013393329</t>
  </si>
  <si>
    <t>FR0010923383</t>
  </si>
  <si>
    <t>IE00BYXVGZ48</t>
  </si>
  <si>
    <t>IE00B4L5Y983</t>
  </si>
  <si>
    <t>LU1670707527</t>
  </si>
  <si>
    <t>LU0119620416</t>
  </si>
  <si>
    <t>LU0552385295</t>
  </si>
  <si>
    <t>LU0348926287</t>
  </si>
  <si>
    <t>LU0772944145</t>
  </si>
  <si>
    <t>LU0248184466</t>
  </si>
  <si>
    <t>IE00BM67HT60</t>
  </si>
  <si>
    <t>LU2906336990</t>
  </si>
  <si>
    <t>XS3174997521</t>
  </si>
  <si>
    <t>IE000UL6CLP7</t>
  </si>
  <si>
    <t>DE000VJ0K5X0</t>
  </si>
  <si>
    <t>DE000VJ20861</t>
  </si>
  <si>
    <t>Controvalore Totale:</t>
  </si>
  <si>
    <t>Descrizione Asset</t>
  </si>
  <si>
    <t>Data</t>
  </si>
  <si>
    <t>EUR</t>
  </si>
  <si>
    <t>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</si>
</sst>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€&quot;#,##0.00_);[Red]\(&quot;€&quot;#,##0.00\)"/>
    <numFmt numFmtId="165" formatCode="#,##0.00;;\-"/>
    <numFmt numFmtId="166" formatCode="0.0000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5" fillId="0" borderId="0" xfId="0" applyFont="1"/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0" borderId="0" xfId="0" applyNumberFormat="1"/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488950</xdr:colOff>
      <xdr:row>1</xdr:row>
      <xdr:rowOff>165100</xdr:rowOff>
    </xdr:from>
    <xdr:to>
      <xdr:col>7</xdr:col>
      <xdr:colOff>1403350</xdr:colOff>
      <xdr:row>6</xdr:row>
      <xdr:rowOff>158750</xdr:rowOff>
    </xdr:to>
    <xdr:pic macro="[0]!SaveFileWithDateFromF2">
      <xdr:nvPicPr>
        <xdr:cNvPr id="2" name="Graphic 1" descr="Download with solid fill">
          <a:extLst>
            <a:ext uri="{FF2B5EF4-FFF2-40B4-BE49-F238E27FC236}">
              <a16:creationId xmlns:a16="http://schemas.microsoft.com/office/drawing/2014/main" id="{D9B21823-469F-4170-B3B5-E41F6A890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915400" y="35560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M19"/>
  <sheetViews>
    <sheetView showGridLines="0" tabSelected="1" workbookViewId="0">
      <pane ySplit="1" topLeftCell="A2" activePane="bottomLeft" state="frozenSplit"/>
      <selection pane="bottomLeft" activeCell="G2" sqref="G2:G19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8" max="8" width="26.36328125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3" ht="15" thickBot="1" x14ac:dyDescent="0.4">
      <c r="A1" s="12" t="s">
        <v>42</v>
      </c>
      <c r="B1" s="13" t="s">
        <v>0</v>
      </c>
      <c r="C1" s="12" t="s">
        <v>1</v>
      </c>
      <c r="D1" s="12" t="s">
        <v>2</v>
      </c>
      <c r="E1" s="12" t="s">
        <v>3</v>
      </c>
      <c r="F1" s="13" t="s">
        <v>43</v>
      </c>
      <c r="G1" s="13" t="s">
        <v>4</v>
      </c>
      <c r="I1" s="5">
        <f>SUM(I2:I19)</f>
        <v>449776.77294970502</v>
      </c>
      <c r="J1" s="4" t="s">
        <v>41</v>
      </c>
    </row>
    <row r="2" spans="1:13" x14ac:dyDescent="0.35">
      <c r="A2" s="6" t="s">
        <v>19</v>
      </c>
      <c r="B2" s="7" t="s">
        <v>36</v>
      </c>
      <c r="C2" s="8">
        <v>99.85</v>
      </c>
      <c r="D2" s="9" t="s">
        <v>44</v>
      </c>
      <c r="E2" s="10">
        <v>100</v>
      </c>
      <c r="F2" s="14">
        <v>46105</v>
      </c>
      <c r="G2" s="2">
        <v>100.77</v>
      </c>
      <c r="I2" s="11">
        <f>+C2*G2</f>
        <v>10061.884499999998</v>
      </c>
      <c r="L2" s="2">
        <v>100.77</v>
      </c>
      <c r="M2" s="15">
        <f>+(G2-L2)/L2</f>
        <v>0</v>
      </c>
    </row>
    <row r="3" spans="1:13" x14ac:dyDescent="0.35">
      <c r="A3" s="6" t="s">
        <v>20</v>
      </c>
      <c r="B3" s="7" t="s">
        <v>37</v>
      </c>
      <c r="C3" s="8">
        <v>155</v>
      </c>
      <c r="D3" s="9" t="s">
        <v>44</v>
      </c>
      <c r="E3" s="10">
        <v>94.621300000000005</v>
      </c>
      <c r="F3" s="3">
        <f>+F2</f>
        <v>46105</v>
      </c>
      <c r="G3" s="2">
        <v>82.26</v>
      </c>
      <c r="I3" s="11">
        <f t="shared" ref="I3:I19" si="0">+C3*G3</f>
        <v>12750.300000000001</v>
      </c>
      <c r="L3" s="2">
        <v>76.91</v>
      </c>
      <c r="M3" s="15">
        <f t="shared" ref="M3:M19" si="1">+(G3-L3)/L3</f>
        <v>6.9561825510336878E-2</v>
      </c>
    </row>
    <row r="4" spans="1:13" x14ac:dyDescent="0.35">
      <c r="A4" s="6" t="s">
        <v>7</v>
      </c>
      <c r="B4" s="7" t="s">
        <v>24</v>
      </c>
      <c r="C4" s="8">
        <v>250</v>
      </c>
      <c r="D4" s="9" t="s">
        <v>44</v>
      </c>
      <c r="E4" s="10">
        <v>90.380700000000004</v>
      </c>
      <c r="F4" s="3">
        <f t="shared" ref="F4:F19" si="2">+F3</f>
        <v>46105</v>
      </c>
      <c r="G4" s="2">
        <v>98.47</v>
      </c>
      <c r="I4" s="11">
        <f t="shared" si="0"/>
        <v>24617.5</v>
      </c>
      <c r="L4" s="2">
        <v>98.68</v>
      </c>
      <c r="M4" s="15">
        <f t="shared" si="1"/>
        <v>-2.1280907985408181E-3</v>
      </c>
    </row>
    <row r="5" spans="1:13" x14ac:dyDescent="0.35">
      <c r="A5" s="6" t="s">
        <v>6</v>
      </c>
      <c r="B5" s="7" t="s">
        <v>5</v>
      </c>
      <c r="C5" s="8">
        <v>786.29</v>
      </c>
      <c r="D5" s="9" t="s">
        <v>44</v>
      </c>
      <c r="E5" s="10">
        <v>31.14</v>
      </c>
      <c r="F5" s="3">
        <f t="shared" si="2"/>
        <v>46105</v>
      </c>
      <c r="G5" s="2">
        <v>31.23</v>
      </c>
      <c r="I5" s="11">
        <f t="shared" si="0"/>
        <v>24555.8367</v>
      </c>
      <c r="K5" s="11"/>
      <c r="L5" s="2">
        <v>32.71</v>
      </c>
      <c r="M5" s="15">
        <f t="shared" si="1"/>
        <v>-4.5246102109446663E-2</v>
      </c>
    </row>
    <row r="6" spans="1:13" x14ac:dyDescent="0.35">
      <c r="A6" s="6" t="s">
        <v>10</v>
      </c>
      <c r="B6" s="7" t="s">
        <v>27</v>
      </c>
      <c r="C6" s="8">
        <v>570</v>
      </c>
      <c r="D6" s="9" t="s">
        <v>44</v>
      </c>
      <c r="E6" s="10">
        <v>8.8187999999999995</v>
      </c>
      <c r="F6" s="3">
        <f t="shared" si="2"/>
        <v>46105</v>
      </c>
      <c r="G6" s="2">
        <v>8.94</v>
      </c>
      <c r="I6" s="11">
        <f t="shared" si="0"/>
        <v>5095.7999999999993</v>
      </c>
      <c r="K6" s="11"/>
      <c r="L6" s="2">
        <v>9.0988000000000007</v>
      </c>
      <c r="M6" s="15">
        <f t="shared" si="1"/>
        <v>-1.7452850925396883E-2</v>
      </c>
    </row>
    <row r="7" spans="1:13" x14ac:dyDescent="0.35">
      <c r="A7" s="6" t="s">
        <v>21</v>
      </c>
      <c r="B7" s="7" t="s">
        <v>38</v>
      </c>
      <c r="C7" s="8">
        <v>237</v>
      </c>
      <c r="D7" s="9" t="s">
        <v>44</v>
      </c>
      <c r="E7" s="10">
        <v>42.381100000000004</v>
      </c>
      <c r="F7" s="3">
        <f t="shared" si="2"/>
        <v>46105</v>
      </c>
      <c r="G7" s="2">
        <v>36.475000000000001</v>
      </c>
      <c r="I7" s="11">
        <f t="shared" si="0"/>
        <v>8644.5750000000007</v>
      </c>
      <c r="K7" s="11"/>
      <c r="L7" s="2">
        <v>38.44</v>
      </c>
      <c r="M7" s="15">
        <f t="shared" si="1"/>
        <v>-5.1118626430801159E-2</v>
      </c>
    </row>
    <row r="8" spans="1:13" x14ac:dyDescent="0.35">
      <c r="A8" s="6" t="s">
        <v>8</v>
      </c>
      <c r="B8" s="7" t="s">
        <v>25</v>
      </c>
      <c r="C8" s="8">
        <v>808.88599999999997</v>
      </c>
      <c r="D8" s="9" t="s">
        <v>44</v>
      </c>
      <c r="E8" s="10">
        <v>79.260800000000003</v>
      </c>
      <c r="F8" s="3">
        <f t="shared" si="2"/>
        <v>46105</v>
      </c>
      <c r="G8" s="2">
        <v>139.13</v>
      </c>
      <c r="I8" s="11">
        <f t="shared" si="0"/>
        <v>112540.30918</v>
      </c>
      <c r="L8" s="2">
        <v>144.55000000000001</v>
      </c>
      <c r="M8" s="15">
        <f t="shared" si="1"/>
        <v>-3.7495676236596442E-2</v>
      </c>
    </row>
    <row r="9" spans="1:13" x14ac:dyDescent="0.35">
      <c r="A9" s="6" t="s">
        <v>9</v>
      </c>
      <c r="B9" s="7" t="s">
        <v>26</v>
      </c>
      <c r="C9" s="8">
        <v>255.42699999999999</v>
      </c>
      <c r="D9" s="9" t="s">
        <v>44</v>
      </c>
      <c r="E9" s="10">
        <v>188.8296</v>
      </c>
      <c r="F9" s="3">
        <f t="shared" si="2"/>
        <v>46105</v>
      </c>
      <c r="G9" s="2">
        <v>346.88</v>
      </c>
      <c r="I9" s="11">
        <f t="shared" si="0"/>
        <v>88602.517760000002</v>
      </c>
      <c r="K9" s="11"/>
      <c r="L9" s="2">
        <v>356.42</v>
      </c>
      <c r="M9" s="15">
        <f t="shared" si="1"/>
        <v>-2.67661747376691E-2</v>
      </c>
    </row>
    <row r="10" spans="1:13" x14ac:dyDescent="0.35">
      <c r="A10" s="6" t="s">
        <v>11</v>
      </c>
      <c r="B10" s="7" t="s">
        <v>28</v>
      </c>
      <c r="C10" s="8">
        <v>47</v>
      </c>
      <c r="D10" s="9" t="s">
        <v>44</v>
      </c>
      <c r="E10" s="10">
        <v>108.09699999999999</v>
      </c>
      <c r="F10" s="3">
        <f t="shared" si="2"/>
        <v>46105</v>
      </c>
      <c r="G10" s="2">
        <v>109.98</v>
      </c>
      <c r="I10" s="11">
        <f t="shared" si="0"/>
        <v>5169.0600000000004</v>
      </c>
      <c r="L10" s="2">
        <v>112.16</v>
      </c>
      <c r="M10" s="15">
        <f t="shared" si="1"/>
        <v>-1.9436519258202504E-2</v>
      </c>
    </row>
    <row r="11" spans="1:13" x14ac:dyDescent="0.35">
      <c r="A11" s="6" t="s">
        <v>12</v>
      </c>
      <c r="B11" s="7" t="s">
        <v>29</v>
      </c>
      <c r="C11" s="8">
        <v>945.54899999999998</v>
      </c>
      <c r="D11" s="9" t="s">
        <v>44</v>
      </c>
      <c r="E11" s="10">
        <v>16.910799999999998</v>
      </c>
      <c r="F11" s="3">
        <f t="shared" si="2"/>
        <v>46105</v>
      </c>
      <c r="G11" s="2">
        <v>20.221</v>
      </c>
      <c r="I11" s="11">
        <f t="shared" si="0"/>
        <v>19119.946328999999</v>
      </c>
      <c r="L11" s="2">
        <v>20.922599999999999</v>
      </c>
      <c r="M11" s="15">
        <f t="shared" si="1"/>
        <v>-3.3533117298997217E-2</v>
      </c>
    </row>
    <row r="12" spans="1:13" x14ac:dyDescent="0.35">
      <c r="A12" s="6" t="s">
        <v>13</v>
      </c>
      <c r="B12" s="7" t="s">
        <v>30</v>
      </c>
      <c r="C12" s="8">
        <v>104.37</v>
      </c>
      <c r="D12" s="9" t="s">
        <v>45</v>
      </c>
      <c r="E12" s="10">
        <v>183.25</v>
      </c>
      <c r="F12" s="3">
        <f t="shared" si="2"/>
        <v>46105</v>
      </c>
      <c r="G12" s="2">
        <v>169.45705000000001</v>
      </c>
      <c r="I12" s="11">
        <f t="shared" si="0"/>
        <v>17686.232308500003</v>
      </c>
      <c r="L12" s="2">
        <v>175.15372300000001</v>
      </c>
      <c r="M12" s="15">
        <f t="shared" si="1"/>
        <v>-3.2523847637540675E-2</v>
      </c>
    </row>
    <row r="13" spans="1:13" x14ac:dyDescent="0.35">
      <c r="A13" s="6" t="s">
        <v>14</v>
      </c>
      <c r="B13" s="7" t="s">
        <v>31</v>
      </c>
      <c r="C13" s="8">
        <v>207.953</v>
      </c>
      <c r="D13" s="9" t="s">
        <v>45</v>
      </c>
      <c r="E13" s="10">
        <v>86.142099999999999</v>
      </c>
      <c r="F13" s="3">
        <f t="shared" si="2"/>
        <v>46105</v>
      </c>
      <c r="G13" s="2">
        <v>126.63188500000001</v>
      </c>
      <c r="I13" s="11">
        <f t="shared" si="0"/>
        <v>26333.480381405003</v>
      </c>
      <c r="L13" s="2">
        <v>129.10766000000001</v>
      </c>
      <c r="M13" s="15">
        <f t="shared" si="1"/>
        <v>-1.9176050437286204E-2</v>
      </c>
    </row>
    <row r="14" spans="1:13" x14ac:dyDescent="0.35">
      <c r="A14" s="6" t="s">
        <v>15</v>
      </c>
      <c r="B14" s="7" t="s">
        <v>32</v>
      </c>
      <c r="C14" s="8">
        <v>448.18400000000003</v>
      </c>
      <c r="D14" s="9" t="s">
        <v>44</v>
      </c>
      <c r="E14" s="10">
        <v>24.51</v>
      </c>
      <c r="F14" s="3">
        <f t="shared" si="2"/>
        <v>46105</v>
      </c>
      <c r="G14" s="2">
        <v>35.319899999999997</v>
      </c>
      <c r="I14" s="11">
        <f t="shared" si="0"/>
        <v>15829.8140616</v>
      </c>
      <c r="L14" s="2">
        <v>36.004300000000001</v>
      </c>
      <c r="M14" s="15">
        <f t="shared" si="1"/>
        <v>-1.9008840610704934E-2</v>
      </c>
    </row>
    <row r="15" spans="1:13" x14ac:dyDescent="0.35">
      <c r="A15" s="6" t="s">
        <v>16</v>
      </c>
      <c r="B15" s="7" t="s">
        <v>33</v>
      </c>
      <c r="C15" s="8">
        <v>117.944</v>
      </c>
      <c r="D15" s="9" t="s">
        <v>44</v>
      </c>
      <c r="E15" s="10">
        <v>188.49709999999999</v>
      </c>
      <c r="F15" s="3">
        <f t="shared" si="2"/>
        <v>46105</v>
      </c>
      <c r="G15" s="2">
        <v>207.04230000000001</v>
      </c>
      <c r="I15" s="11">
        <f t="shared" si="0"/>
        <v>24419.397031200002</v>
      </c>
      <c r="L15" s="2">
        <v>208.63399999999999</v>
      </c>
      <c r="M15" s="15">
        <f t="shared" si="1"/>
        <v>-7.6291496112808783E-3</v>
      </c>
    </row>
    <row r="16" spans="1:13" x14ac:dyDescent="0.35">
      <c r="A16" s="6" t="s">
        <v>17</v>
      </c>
      <c r="B16" s="7" t="s">
        <v>34</v>
      </c>
      <c r="C16" s="8">
        <v>586.02</v>
      </c>
      <c r="D16" s="9" t="s">
        <v>44</v>
      </c>
      <c r="E16" s="10">
        <v>17.7333</v>
      </c>
      <c r="F16" s="3">
        <f t="shared" si="2"/>
        <v>46105</v>
      </c>
      <c r="G16" s="2">
        <v>26.414899999999999</v>
      </c>
      <c r="I16" s="11">
        <f t="shared" si="0"/>
        <v>15479.659697999999</v>
      </c>
      <c r="L16" s="2">
        <v>27.159600000000001</v>
      </c>
      <c r="M16" s="15">
        <f t="shared" si="1"/>
        <v>-2.741940234760459E-2</v>
      </c>
    </row>
    <row r="17" spans="1:13" x14ac:dyDescent="0.35">
      <c r="A17" s="6" t="s">
        <v>22</v>
      </c>
      <c r="B17" s="7" t="s">
        <v>39</v>
      </c>
      <c r="C17" s="8">
        <v>15</v>
      </c>
      <c r="D17" s="9" t="s">
        <v>44</v>
      </c>
      <c r="E17" s="10">
        <v>1009.4647</v>
      </c>
      <c r="F17" s="3">
        <f t="shared" si="2"/>
        <v>46105</v>
      </c>
      <c r="G17" s="2">
        <v>964</v>
      </c>
      <c r="I17" s="11">
        <f t="shared" si="0"/>
        <v>14460</v>
      </c>
      <c r="L17" s="2">
        <v>930.5</v>
      </c>
      <c r="M17" s="15">
        <f t="shared" si="1"/>
        <v>3.6002149382052658E-2</v>
      </c>
    </row>
    <row r="18" spans="1:13" x14ac:dyDescent="0.35">
      <c r="A18" s="6" t="s">
        <v>23</v>
      </c>
      <c r="B18" s="7" t="s">
        <v>40</v>
      </c>
      <c r="C18" s="8">
        <v>205</v>
      </c>
      <c r="D18" s="9" t="s">
        <v>44</v>
      </c>
      <c r="E18" s="10">
        <v>97.022000000000006</v>
      </c>
      <c r="F18" s="3">
        <f t="shared" si="2"/>
        <v>46105</v>
      </c>
      <c r="G18" s="2">
        <v>79.7</v>
      </c>
      <c r="I18" s="11">
        <f t="shared" si="0"/>
        <v>16338.5</v>
      </c>
      <c r="L18" s="2">
        <v>77</v>
      </c>
      <c r="M18" s="15">
        <f t="shared" si="1"/>
        <v>3.5064935064935104E-2</v>
      </c>
    </row>
    <row r="19" spans="1:13" x14ac:dyDescent="0.35">
      <c r="A19" s="6" t="s">
        <v>18</v>
      </c>
      <c r="B19" s="7" t="s">
        <v>35</v>
      </c>
      <c r="C19" s="8">
        <v>86</v>
      </c>
      <c r="D19" s="9" t="s">
        <v>44</v>
      </c>
      <c r="E19" s="10">
        <v>93.194999999999993</v>
      </c>
      <c r="F19" s="3">
        <f t="shared" si="2"/>
        <v>46105</v>
      </c>
      <c r="G19" s="2">
        <v>93.86</v>
      </c>
      <c r="I19" s="11">
        <f t="shared" si="0"/>
        <v>8071.96</v>
      </c>
      <c r="L19" s="2">
        <v>96.35</v>
      </c>
      <c r="M19" s="15">
        <f t="shared" si="1"/>
        <v>-2.5843279709392788E-2</v>
      </c>
    </row>
  </sheetData>
  <conditionalFormatting sqref="A2:A19">
    <cfRule type="expression" dxfId="3" priority="5" stopIfTrue="1">
      <formula>IF(AND(ISNUMBER(SEARCH("H2O", A2)), ISNUMBER(SEARCH("SP", A2))), 1,0)</formula>
    </cfRule>
    <cfRule type="containsText" dxfId="2" priority="6" stopIfTrue="1" operator="containsText" text="BTP">
      <formula>NOT(ISERROR(SEARCH("BTP",A2)))</formula>
    </cfRule>
  </conditionalFormatting>
  <conditionalFormatting sqref="D2:D19">
    <cfRule type="notContainsText" dxfId="1" priority="4" operator="notContains" text="EUR">
      <formula>ISERROR(SEARCH("EUR",D2))</formula>
    </cfRule>
  </conditionalFormatting>
  <conditionalFormatting sqref="M2:M19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{E819FE00-6EE6-4798-AEAF-2F2665756959}</x14:id>
        </ext>
      </extLst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19FE00-6EE6-4798-AEAF-2F266575695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M2:M19</xm:sqref>
        </x14:conditionalFormatting>
        <x14:conditionalFormatting xmlns:xm="http://schemas.microsoft.com/office/excel/2006/main">
          <x14:cfRule type="containsText" priority="3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D2:D19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2026-03-25T11:23:57Z</dcterms:modified>
</cp:coreProperties>
</file>