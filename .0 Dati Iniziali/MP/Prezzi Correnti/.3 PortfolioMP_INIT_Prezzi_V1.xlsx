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"/>
    </mc:Choice>
  </mc:AlternateContent>
  <xr:revisionPtr revIDLastSave="0" documentId="13_ncr:1_{B338F5C7-5F23-4CDE-A790-B35D30A410E6}" xr6:coauthVersionLast="47" xr6:coauthVersionMax="47" xr10:uidLastSave="{00000000-0000-0000-0000-000000000000}"/>
  <bookViews>
    <workbookView xWindow="14170" yWindow="4510" windowWidth="28800" windowHeight="15460" xr2:uid="{461EA0C3-CC98-4DCD-BC5C-C997A9959903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363" i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44" i="1"/>
  <c r="C345" i="1" s="1"/>
  <c r="C346" i="1" s="1"/>
  <c r="C347" i="1" s="1"/>
  <c r="C349" i="1" s="1"/>
  <c r="C350" i="1" s="1"/>
  <c r="C351" i="1" s="1"/>
  <c r="C352" i="1" s="1"/>
  <c r="C332" i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06" i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214" i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191" i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168" i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22" i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74" i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50" i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26" i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</calcChain>
</file>

<file path=xl/sharedStrings.xml><?xml version="1.0" encoding="utf-8"?>
<sst xmlns="http://schemas.openxmlformats.org/spreadsheetml/2006/main" count="770" uniqueCount="42">
  <si>
    <t>ISIN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</si>
  <si>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</si>
  <si>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</si>
  <si>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</si>
  <si>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</si>
  <si>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</si>
  <si>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</si>
  <si>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</si>
  <si>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</si>
  <si>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</si>
  <si>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</si>
  <si>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</si>
  <si>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</si>
  <si>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</si>
  <si>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</si>
  <si>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</si>
  <si>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</si>
  <si>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</si>
  <si>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</si>
  <si>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</si>
  <si>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</si>
  <si>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GLB X SILV USD-A EUR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</si>
  <si>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</si>
  <si>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</si>
  <si>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</si>
  <si>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</si>
  <si>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</si>
  <si>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</si>
  <si>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</si>
  <si>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</si>
  <si>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</si>
  <si>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</si>
  <si>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</si>
  <si>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</si>
  <si>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</si>
  <si>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</si>
  <si>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</si>
  <si>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</si>
  <si>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</si>
  <si>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IE000UL6CLP7</t>
  </si>
  <si>
    <t>Data</t>
  </si>
  <si>
    <t>Descrizione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</si>
</sst>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0" borderId="3" xfId="0" applyBorder="1"/>
    <xf numFmtId="8" fontId="0" fillId="2" borderId="4" xfId="0" applyNumberFormat="1" applyFill="1" applyBorder="1"/>
    <xf numFmtId="8" fontId="0" fillId="0" borderId="4" xfId="0" applyNumberFormat="1" applyBorder="1"/>
    <xf numFmtId="0" fontId="0" fillId="0" borderId="5" xfId="0" applyBorder="1"/>
    <xf numFmtId="0" fontId="0" fillId="0" borderId="6" xfId="0" applyBorder="1"/>
    <xf numFmtId="14" fontId="0" fillId="0" borderId="6" xfId="0" applyNumberFormat="1" applyBorder="1" applyAlignment="1">
      <alignment horizontal="center"/>
    </xf>
    <xf numFmtId="8" fontId="0" fillId="0" borderId="7" xfId="0" applyNumberFormat="1" applyBorder="1"/>
    <xf numFmtId="0" fontId="0" fillId="2" borderId="5" xfId="0" applyFill="1" applyBorder="1"/>
    <xf numFmtId="0" fontId="0" fillId="2" borderId="6" xfId="0" applyFill="1" applyBorder="1"/>
    <xf numFmtId="8" fontId="0" fillId="2" borderId="7" xfId="0" applyNumberFormat="1" applyFill="1" applyBorder="1"/>
    <xf numFmtId="14" fontId="0" fillId="2" borderId="6" xfId="0" applyNumberForma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6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41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numFmt numFmtId="12" formatCode="#,##0.00\ &quot;€&quot;;[Red]\-#,##0.0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2" formatCode="#,##0.00\ &quot;€&quot;;[Red]\-#,##0.00\ &quot;€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9" tint="0.79998168889431442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CB40-5D0E-4EC7-B73F-375AD248FD75}" name="Table1" displayName="Table1" ref="A1:D384" totalsRowShown="0" headerRowDxfId="40" tableBorderDxfId="39">
  <autoFilter ref="A1:D384" xr:uid="{A644CB40-5D0E-4EC7-B73F-375AD248FD75}"/>
  <tableColumns count="4">
    <tableColumn id="2" xr3:uid="{F51F4DA1-A077-4914-80B4-AD8AFEA9ADAD}" name="ISIN" dataDxfId="38"/>
    <tableColumn id="1" xr3:uid="{13244BAA-6E4E-45A8-BE73-4D4764516016}" name="Descrizione Asset" dataDxfId="37" totalsRowDxfId="36"/>
    <tableColumn id="6" xr3:uid="{D840105F-A0FF-48B3-B6D2-7C8E4E15D7F8}" name="Data" dataDxfId="35" totalsRowDxfId="34"/>
    <tableColumn id="9" xr3:uid="{CB075AA3-AE95-48F4-96AF-9F28838DD478}" name="Prezzo Corrente (EUR)" dataDxfId="33" totalsRowDxfId="3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D384"/>
  <sheetViews>
    <sheetView showGridLines="0" tabSelected="1" zoomScaleNormal="100" workbookViewId="0">
      <pane ySplit="1" topLeftCell="A2" activePane="bottomLeft" state="frozenSplit"/>
      <selection pane="bottomLeft" activeCell="G6" sqref="G6"/>
    </sheetView>
  </sheetViews>
  <sheetFormatPr defaultRowHeight="14.5" x14ac:dyDescent="0.35"/>
  <cols>
    <col min="1" max="1" width="16.453125" customWidth="1"/>
    <col min="2" max="2" width="29.453125" bestFit="1" customWidth="1"/>
    <col min="3" max="3" width="23.90625" style="3" bestFit="1" customWidth="1"/>
    <col min="4" max="4" width="23.6328125" bestFit="1" customWidth="1"/>
    <col min="7" max="7" width="9.26953125" bestFit="1" customWidth="1"/>
  </cols>
  <sheetData>
    <row r="1" spans="1:4" x14ac:dyDescent="0.35">
      <c r="A1" s="22" t="s">
        <v>0</v>
      </c>
      <c r="B1" s="23" t="s">
        <v>41</v>
      </c>
      <c r="C1" s="22" t="s">
        <v>40</v>
      </c>
      <c r="D1" s="22" t="s">
        <v>1</v>
      </c>
    </row>
    <row r="2" spans="1:4" s="6" customFormat="1" x14ac:dyDescent="0.35">
      <c r="A2" s="4" t="s">
        <v>2</v>
      </c>
      <c r="B2" s="7" t="s">
        <v>3</v>
      </c>
      <c r="C2" s="5">
        <v>46023</v>
      </c>
      <c r="D2" s="9">
        <v>33.24</v>
      </c>
    </row>
    <row r="3" spans="1:4" x14ac:dyDescent="0.35">
      <c r="A3" s="1" t="s">
        <v>2</v>
      </c>
      <c r="B3" s="8" t="s">
        <v>3</v>
      </c>
      <c r="C3" s="2">
        <f>EOMONTH(C2,-2)+1</f>
        <v>45992</v>
      </c>
      <c r="D3" s="10">
        <v>32.229999999999997</v>
      </c>
    </row>
    <row r="4" spans="1:4" x14ac:dyDescent="0.35">
      <c r="A4" s="1" t="s">
        <v>2</v>
      </c>
      <c r="B4" s="8" t="s">
        <v>3</v>
      </c>
      <c r="C4" s="2">
        <f t="shared" ref="C4:C24" si="0">EOMONTH(C3,-2)+1</f>
        <v>45962</v>
      </c>
      <c r="D4" s="10">
        <v>33.11</v>
      </c>
    </row>
    <row r="5" spans="1:4" x14ac:dyDescent="0.35">
      <c r="A5" s="1" t="s">
        <v>2</v>
      </c>
      <c r="B5" s="8" t="s">
        <v>3</v>
      </c>
      <c r="C5" s="2">
        <f t="shared" si="0"/>
        <v>45931</v>
      </c>
      <c r="D5" s="10">
        <v>33.44</v>
      </c>
    </row>
    <row r="6" spans="1:4" x14ac:dyDescent="0.35">
      <c r="A6" s="1" t="s">
        <v>2</v>
      </c>
      <c r="B6" s="8" t="s">
        <v>3</v>
      </c>
      <c r="C6" s="2">
        <f t="shared" si="0"/>
        <v>45901</v>
      </c>
      <c r="D6" s="10">
        <v>33.630000000000003</v>
      </c>
    </row>
    <row r="7" spans="1:4" x14ac:dyDescent="0.35">
      <c r="A7" s="1" t="s">
        <v>2</v>
      </c>
      <c r="B7" s="8" t="s">
        <v>3</v>
      </c>
      <c r="C7" s="2">
        <f t="shared" si="0"/>
        <v>45870</v>
      </c>
      <c r="D7" s="10">
        <v>32.18</v>
      </c>
    </row>
    <row r="8" spans="1:4" x14ac:dyDescent="0.35">
      <c r="A8" s="1" t="s">
        <v>2</v>
      </c>
      <c r="B8" s="8" t="s">
        <v>3</v>
      </c>
      <c r="C8" s="2">
        <f t="shared" si="0"/>
        <v>45839</v>
      </c>
      <c r="D8" s="10">
        <v>31.68</v>
      </c>
    </row>
    <row r="9" spans="1:4" x14ac:dyDescent="0.35">
      <c r="A9" s="1" t="s">
        <v>2</v>
      </c>
      <c r="B9" s="8" t="s">
        <v>3</v>
      </c>
      <c r="C9" s="2">
        <f t="shared" si="0"/>
        <v>45809</v>
      </c>
      <c r="D9" s="10">
        <v>29.99</v>
      </c>
    </row>
    <row r="10" spans="1:4" x14ac:dyDescent="0.35">
      <c r="A10" s="1" t="s">
        <v>2</v>
      </c>
      <c r="B10" s="8" t="s">
        <v>3</v>
      </c>
      <c r="C10" s="2">
        <f t="shared" si="0"/>
        <v>45778</v>
      </c>
      <c r="D10" s="10">
        <v>30.01</v>
      </c>
    </row>
    <row r="11" spans="1:4" x14ac:dyDescent="0.35">
      <c r="A11" s="1" t="s">
        <v>2</v>
      </c>
      <c r="B11" s="8" t="s">
        <v>3</v>
      </c>
      <c r="C11" s="2">
        <f t="shared" si="0"/>
        <v>45748</v>
      </c>
      <c r="D11" s="10">
        <v>28.53</v>
      </c>
    </row>
    <row r="12" spans="1:4" x14ac:dyDescent="0.35">
      <c r="A12" s="1" t="s">
        <v>2</v>
      </c>
      <c r="B12" s="8" t="s">
        <v>3</v>
      </c>
      <c r="C12" s="2">
        <f t="shared" si="0"/>
        <v>45717</v>
      </c>
      <c r="D12" s="10">
        <v>29.71</v>
      </c>
    </row>
    <row r="13" spans="1:4" x14ac:dyDescent="0.35">
      <c r="A13" s="1" t="s">
        <v>2</v>
      </c>
      <c r="B13" s="8" t="s">
        <v>3</v>
      </c>
      <c r="C13" s="2">
        <f t="shared" si="0"/>
        <v>45689</v>
      </c>
      <c r="D13" s="10">
        <v>31.45</v>
      </c>
    </row>
    <row r="14" spans="1:4" x14ac:dyDescent="0.35">
      <c r="A14" s="1" t="s">
        <v>2</v>
      </c>
      <c r="B14" s="8" t="s">
        <v>3</v>
      </c>
      <c r="C14" s="2">
        <f t="shared" si="0"/>
        <v>45658</v>
      </c>
      <c r="D14" s="10">
        <v>31.74</v>
      </c>
    </row>
    <row r="15" spans="1:4" x14ac:dyDescent="0.35">
      <c r="A15" s="1" t="s">
        <v>2</v>
      </c>
      <c r="B15" s="8" t="s">
        <v>3</v>
      </c>
      <c r="C15" s="2">
        <f t="shared" si="0"/>
        <v>45627</v>
      </c>
      <c r="D15" s="10">
        <v>31.04</v>
      </c>
    </row>
    <row r="16" spans="1:4" x14ac:dyDescent="0.35">
      <c r="A16" s="1" t="s">
        <v>2</v>
      </c>
      <c r="B16" s="8" t="s">
        <v>3</v>
      </c>
      <c r="C16" s="2">
        <f t="shared" si="0"/>
        <v>45597</v>
      </c>
      <c r="D16" s="10">
        <v>32.200000000000003</v>
      </c>
    </row>
    <row r="17" spans="1:4" x14ac:dyDescent="0.35">
      <c r="A17" s="1" t="s">
        <v>2</v>
      </c>
      <c r="B17" s="8" t="s">
        <v>3</v>
      </c>
      <c r="C17" s="2">
        <f t="shared" si="0"/>
        <v>45566</v>
      </c>
      <c r="D17" s="10">
        <v>30.82</v>
      </c>
    </row>
    <row r="18" spans="1:4" x14ac:dyDescent="0.35">
      <c r="A18" s="1" t="s">
        <v>2</v>
      </c>
      <c r="B18" s="8" t="s">
        <v>3</v>
      </c>
      <c r="C18" s="2">
        <f t="shared" si="0"/>
        <v>45536</v>
      </c>
      <c r="D18" s="10">
        <v>31.61</v>
      </c>
    </row>
    <row r="19" spans="1:4" x14ac:dyDescent="0.35">
      <c r="A19" s="1" t="s">
        <v>2</v>
      </c>
      <c r="B19" s="8" t="s">
        <v>3</v>
      </c>
      <c r="C19" s="2">
        <f t="shared" si="0"/>
        <v>45505</v>
      </c>
      <c r="D19" s="10">
        <v>29.24</v>
      </c>
    </row>
    <row r="20" spans="1:4" x14ac:dyDescent="0.35">
      <c r="A20" s="1" t="s">
        <v>2</v>
      </c>
      <c r="B20" s="8" t="s">
        <v>3</v>
      </c>
      <c r="C20" s="2">
        <f t="shared" si="0"/>
        <v>45474</v>
      </c>
      <c r="D20" s="10">
        <v>29.69</v>
      </c>
    </row>
    <row r="21" spans="1:4" x14ac:dyDescent="0.35">
      <c r="A21" s="1" t="s">
        <v>2</v>
      </c>
      <c r="B21" s="8" t="s">
        <v>3</v>
      </c>
      <c r="C21" s="2">
        <f t="shared" si="0"/>
        <v>45444</v>
      </c>
      <c r="D21" s="10">
        <v>29.31</v>
      </c>
    </row>
    <row r="22" spans="1:4" x14ac:dyDescent="0.35">
      <c r="A22" s="1" t="s">
        <v>2</v>
      </c>
      <c r="B22" s="8" t="s">
        <v>3</v>
      </c>
      <c r="C22" s="2">
        <f t="shared" si="0"/>
        <v>45413</v>
      </c>
      <c r="D22" s="10">
        <v>28.84</v>
      </c>
    </row>
    <row r="23" spans="1:4" x14ac:dyDescent="0.35">
      <c r="A23" s="1" t="s">
        <v>2</v>
      </c>
      <c r="B23" s="8" t="s">
        <v>3</v>
      </c>
      <c r="C23" s="2">
        <f t="shared" si="0"/>
        <v>45383</v>
      </c>
      <c r="D23" s="10">
        <v>29.79</v>
      </c>
    </row>
    <row r="24" spans="1:4" x14ac:dyDescent="0.35">
      <c r="A24" s="1" t="s">
        <v>2</v>
      </c>
      <c r="B24" s="8" t="s">
        <v>3</v>
      </c>
      <c r="C24" s="2">
        <f t="shared" si="0"/>
        <v>45352</v>
      </c>
      <c r="D24" s="10">
        <v>30.01</v>
      </c>
    </row>
    <row r="25" spans="1:4" s="6" customFormat="1" x14ac:dyDescent="0.35">
      <c r="A25" s="4" t="s">
        <v>24</v>
      </c>
      <c r="B25" s="7" t="s">
        <v>6</v>
      </c>
      <c r="C25" s="5">
        <v>46052</v>
      </c>
      <c r="D25" s="9">
        <v>153.19999999999999</v>
      </c>
    </row>
    <row r="26" spans="1:4" x14ac:dyDescent="0.35">
      <c r="A26" s="1" t="s">
        <v>24</v>
      </c>
      <c r="B26" s="8" t="s">
        <v>6</v>
      </c>
      <c r="C26" s="2">
        <f>EOMONTH(C25,-1)</f>
        <v>46022</v>
      </c>
      <c r="D26" s="10">
        <v>144.94</v>
      </c>
    </row>
    <row r="27" spans="1:4" x14ac:dyDescent="0.35">
      <c r="A27" s="1" t="s">
        <v>24</v>
      </c>
      <c r="B27" s="8" t="s">
        <v>6</v>
      </c>
      <c r="C27" s="2">
        <f t="shared" ref="C27:C47" si="1">EOMONTH(C26,-1)</f>
        <v>45991</v>
      </c>
      <c r="D27" s="10">
        <v>145.26</v>
      </c>
    </row>
    <row r="28" spans="1:4" x14ac:dyDescent="0.35">
      <c r="A28" s="1" t="s">
        <v>24</v>
      </c>
      <c r="B28" s="8" t="s">
        <v>6</v>
      </c>
      <c r="C28" s="2">
        <f t="shared" si="1"/>
        <v>45961</v>
      </c>
      <c r="D28" s="10">
        <v>143.96</v>
      </c>
    </row>
    <row r="29" spans="1:4" x14ac:dyDescent="0.35">
      <c r="A29" s="1" t="s">
        <v>24</v>
      </c>
      <c r="B29" s="8" t="s">
        <v>6</v>
      </c>
      <c r="C29" s="2">
        <f t="shared" si="1"/>
        <v>45930</v>
      </c>
      <c r="D29" s="10">
        <v>143.59</v>
      </c>
    </row>
    <row r="30" spans="1:4" x14ac:dyDescent="0.35">
      <c r="A30" s="1" t="s">
        <v>24</v>
      </c>
      <c r="B30" s="8" t="s">
        <v>6</v>
      </c>
      <c r="C30" s="2">
        <f t="shared" si="1"/>
        <v>45900</v>
      </c>
      <c r="D30" s="10">
        <v>140.28</v>
      </c>
    </row>
    <row r="31" spans="1:4" x14ac:dyDescent="0.35">
      <c r="A31" s="1" t="s">
        <v>24</v>
      </c>
      <c r="B31" s="8" t="s">
        <v>6</v>
      </c>
      <c r="C31" s="2">
        <f t="shared" si="1"/>
        <v>45869</v>
      </c>
      <c r="D31" s="10">
        <v>132.69</v>
      </c>
    </row>
    <row r="32" spans="1:4" x14ac:dyDescent="0.35">
      <c r="A32" s="1" t="s">
        <v>24</v>
      </c>
      <c r="B32" s="8" t="s">
        <v>6</v>
      </c>
      <c r="C32" s="2">
        <f t="shared" si="1"/>
        <v>45838</v>
      </c>
      <c r="D32" s="10">
        <v>136.09</v>
      </c>
    </row>
    <row r="33" spans="1:4" x14ac:dyDescent="0.35">
      <c r="A33" s="1" t="s">
        <v>24</v>
      </c>
      <c r="B33" s="8" t="s">
        <v>6</v>
      </c>
      <c r="C33" s="2">
        <f t="shared" si="1"/>
        <v>45808</v>
      </c>
      <c r="D33" s="10">
        <v>135.1</v>
      </c>
    </row>
    <row r="34" spans="1:4" x14ac:dyDescent="0.35">
      <c r="A34" s="1" t="s">
        <v>24</v>
      </c>
      <c r="B34" s="8" t="s">
        <v>6</v>
      </c>
      <c r="C34" s="2">
        <f t="shared" si="1"/>
        <v>45777</v>
      </c>
      <c r="D34" s="10">
        <v>132.08000000000001</v>
      </c>
    </row>
    <row r="35" spans="1:4" x14ac:dyDescent="0.35">
      <c r="A35" s="1" t="s">
        <v>24</v>
      </c>
      <c r="B35" s="8" t="s">
        <v>6</v>
      </c>
      <c r="C35" s="2">
        <f t="shared" si="1"/>
        <v>45747</v>
      </c>
      <c r="D35" s="10">
        <v>130.6</v>
      </c>
    </row>
    <row r="36" spans="1:4" x14ac:dyDescent="0.35">
      <c r="A36" s="1" t="s">
        <v>24</v>
      </c>
      <c r="B36" s="8" t="s">
        <v>6</v>
      </c>
      <c r="C36" s="2">
        <f t="shared" si="1"/>
        <v>45716</v>
      </c>
      <c r="D36" s="10">
        <v>130.75</v>
      </c>
    </row>
    <row r="37" spans="1:4" x14ac:dyDescent="0.35">
      <c r="A37" s="1" t="s">
        <v>24</v>
      </c>
      <c r="B37" s="8" t="s">
        <v>6</v>
      </c>
      <c r="C37" s="2">
        <f t="shared" si="1"/>
        <v>45688</v>
      </c>
      <c r="D37" s="10">
        <v>124.47</v>
      </c>
    </row>
    <row r="38" spans="1:4" x14ac:dyDescent="0.35">
      <c r="A38" s="1" t="s">
        <v>24</v>
      </c>
      <c r="B38" s="8" t="s">
        <v>6</v>
      </c>
      <c r="C38" s="2">
        <f t="shared" si="1"/>
        <v>45657</v>
      </c>
      <c r="D38" s="10">
        <v>113.98</v>
      </c>
    </row>
    <row r="39" spans="1:4" x14ac:dyDescent="0.35">
      <c r="A39" s="1" t="s">
        <v>24</v>
      </c>
      <c r="B39" s="8" t="s">
        <v>6</v>
      </c>
      <c r="C39" s="2">
        <f t="shared" si="1"/>
        <v>45626</v>
      </c>
      <c r="D39" s="10">
        <v>117.37</v>
      </c>
    </row>
    <row r="40" spans="1:4" x14ac:dyDescent="0.35">
      <c r="A40" s="1" t="s">
        <v>24</v>
      </c>
      <c r="B40" s="8" t="s">
        <v>6</v>
      </c>
      <c r="C40" s="2">
        <f t="shared" si="1"/>
        <v>45596</v>
      </c>
      <c r="D40" s="10">
        <v>115.04</v>
      </c>
    </row>
    <row r="41" spans="1:4" x14ac:dyDescent="0.35">
      <c r="A41" s="1" t="s">
        <v>24</v>
      </c>
      <c r="B41" s="8" t="s">
        <v>6</v>
      </c>
      <c r="C41" s="2">
        <f t="shared" si="1"/>
        <v>45565</v>
      </c>
      <c r="D41" s="10">
        <v>129.02000000000001</v>
      </c>
    </row>
    <row r="42" spans="1:4" x14ac:dyDescent="0.35">
      <c r="A42" s="1" t="s">
        <v>24</v>
      </c>
      <c r="B42" s="8" t="s">
        <v>6</v>
      </c>
      <c r="C42" s="2">
        <f t="shared" si="1"/>
        <v>45535</v>
      </c>
      <c r="D42" s="10">
        <v>117.11</v>
      </c>
    </row>
    <row r="43" spans="1:4" x14ac:dyDescent="0.35">
      <c r="A43" s="1" t="s">
        <v>24</v>
      </c>
      <c r="B43" s="8" t="s">
        <v>6</v>
      </c>
      <c r="C43" s="2">
        <f t="shared" si="1"/>
        <v>45504</v>
      </c>
      <c r="D43" s="10">
        <v>115.69</v>
      </c>
    </row>
    <row r="44" spans="1:4" x14ac:dyDescent="0.35">
      <c r="A44" s="1" t="s">
        <v>24</v>
      </c>
      <c r="B44" s="8" t="s">
        <v>6</v>
      </c>
      <c r="C44" s="2">
        <f t="shared" si="1"/>
        <v>45473</v>
      </c>
      <c r="D44" s="10">
        <v>109.54</v>
      </c>
    </row>
    <row r="45" spans="1:4" x14ac:dyDescent="0.35">
      <c r="A45" s="1" t="s">
        <v>24</v>
      </c>
      <c r="B45" s="8" t="s">
        <v>6</v>
      </c>
      <c r="C45" s="2">
        <f t="shared" si="1"/>
        <v>45443</v>
      </c>
      <c r="D45" s="10">
        <v>115.32</v>
      </c>
    </row>
    <row r="46" spans="1:4" x14ac:dyDescent="0.35">
      <c r="A46" s="1" t="s">
        <v>24</v>
      </c>
      <c r="B46" s="8" t="s">
        <v>6</v>
      </c>
      <c r="C46" s="2">
        <f t="shared" si="1"/>
        <v>45412</v>
      </c>
      <c r="D46" s="10">
        <v>115.59</v>
      </c>
    </row>
    <row r="47" spans="1:4" x14ac:dyDescent="0.35">
      <c r="A47" s="1" t="s">
        <v>24</v>
      </c>
      <c r="B47" s="8" t="s">
        <v>6</v>
      </c>
      <c r="C47" s="2">
        <f t="shared" si="1"/>
        <v>45382</v>
      </c>
      <c r="D47" s="10">
        <v>121.55</v>
      </c>
    </row>
    <row r="48" spans="1:4" x14ac:dyDescent="0.35">
      <c r="A48" s="12" t="s">
        <v>24</v>
      </c>
      <c r="B48" s="11" t="s">
        <v>6</v>
      </c>
      <c r="C48" s="13">
        <v>45355</v>
      </c>
      <c r="D48" s="14">
        <v>115.52</v>
      </c>
    </row>
    <row r="49" spans="1:4" s="6" customFormat="1" x14ac:dyDescent="0.35">
      <c r="A49" s="16" t="s">
        <v>25</v>
      </c>
      <c r="B49" s="15" t="s">
        <v>7</v>
      </c>
      <c r="C49" s="5">
        <v>46052</v>
      </c>
      <c r="D49" s="17">
        <v>383.83</v>
      </c>
    </row>
    <row r="50" spans="1:4" x14ac:dyDescent="0.35">
      <c r="A50" s="1" t="s">
        <v>25</v>
      </c>
      <c r="B50" s="8" t="s">
        <v>7</v>
      </c>
      <c r="C50" s="2">
        <f>EOMONTH(C49,-1)</f>
        <v>46022</v>
      </c>
      <c r="D50" s="10">
        <v>361.98</v>
      </c>
    </row>
    <row r="51" spans="1:4" x14ac:dyDescent="0.35">
      <c r="A51" s="1" t="s">
        <v>25</v>
      </c>
      <c r="B51" s="8" t="s">
        <v>7</v>
      </c>
      <c r="C51" s="2">
        <f t="shared" ref="C51:C71" si="2">EOMONTH(C50,-1)</f>
        <v>45991</v>
      </c>
      <c r="D51" s="10">
        <v>350.59</v>
      </c>
    </row>
    <row r="52" spans="1:4" x14ac:dyDescent="0.35">
      <c r="A52" s="1" t="s">
        <v>25</v>
      </c>
      <c r="B52" s="8" t="s">
        <v>7</v>
      </c>
      <c r="C52" s="2">
        <f t="shared" si="2"/>
        <v>45961</v>
      </c>
      <c r="D52" s="10">
        <v>335.31</v>
      </c>
    </row>
    <row r="53" spans="1:4" x14ac:dyDescent="0.35">
      <c r="A53" s="1" t="s">
        <v>25</v>
      </c>
      <c r="B53" s="8" t="s">
        <v>7</v>
      </c>
      <c r="C53" s="2">
        <f t="shared" si="2"/>
        <v>45930</v>
      </c>
      <c r="D53" s="10">
        <v>343.46</v>
      </c>
    </row>
    <row r="54" spans="1:4" x14ac:dyDescent="0.35">
      <c r="A54" s="1" t="s">
        <v>25</v>
      </c>
      <c r="B54" s="8" t="s">
        <v>7</v>
      </c>
      <c r="C54" s="2">
        <f t="shared" si="2"/>
        <v>45900</v>
      </c>
      <c r="D54" s="10">
        <v>339.79</v>
      </c>
    </row>
    <row r="55" spans="1:4" x14ac:dyDescent="0.35">
      <c r="A55" s="1" t="s">
        <v>25</v>
      </c>
      <c r="B55" s="8" t="s">
        <v>7</v>
      </c>
      <c r="C55" s="2">
        <f t="shared" si="2"/>
        <v>45869</v>
      </c>
      <c r="D55" s="10">
        <v>317.3</v>
      </c>
    </row>
    <row r="56" spans="1:4" x14ac:dyDescent="0.35">
      <c r="A56" s="1" t="s">
        <v>25</v>
      </c>
      <c r="B56" s="8" t="s">
        <v>7</v>
      </c>
      <c r="C56" s="2">
        <f t="shared" si="2"/>
        <v>45838</v>
      </c>
      <c r="D56" s="10">
        <v>322.19</v>
      </c>
    </row>
    <row r="57" spans="1:4" x14ac:dyDescent="0.35">
      <c r="A57" s="1" t="s">
        <v>25</v>
      </c>
      <c r="B57" s="8" t="s">
        <v>7</v>
      </c>
      <c r="C57" s="2">
        <f t="shared" si="2"/>
        <v>45808</v>
      </c>
      <c r="D57" s="10">
        <v>317.3</v>
      </c>
    </row>
    <row r="58" spans="1:4" x14ac:dyDescent="0.35">
      <c r="A58" s="1" t="s">
        <v>25</v>
      </c>
      <c r="B58" s="8" t="s">
        <v>7</v>
      </c>
      <c r="C58" s="2">
        <f t="shared" si="2"/>
        <v>45777</v>
      </c>
      <c r="D58" s="10">
        <v>314.3</v>
      </c>
    </row>
    <row r="59" spans="1:4" x14ac:dyDescent="0.35">
      <c r="A59" s="1" t="s">
        <v>25</v>
      </c>
      <c r="B59" s="8" t="s">
        <v>7</v>
      </c>
      <c r="C59" s="2">
        <f t="shared" si="2"/>
        <v>45747</v>
      </c>
      <c r="D59" s="10">
        <v>300</v>
      </c>
    </row>
    <row r="60" spans="1:4" x14ac:dyDescent="0.35">
      <c r="A60" s="1" t="s">
        <v>25</v>
      </c>
      <c r="B60" s="8" t="s">
        <v>7</v>
      </c>
      <c r="C60" s="2">
        <f t="shared" si="2"/>
        <v>45716</v>
      </c>
      <c r="D60" s="10">
        <v>289.20999999999998</v>
      </c>
    </row>
    <row r="61" spans="1:4" x14ac:dyDescent="0.35">
      <c r="A61" s="1" t="s">
        <v>25</v>
      </c>
      <c r="B61" s="8" t="s">
        <v>7</v>
      </c>
      <c r="C61" s="2">
        <f t="shared" si="2"/>
        <v>45688</v>
      </c>
      <c r="D61" s="10">
        <v>266.74</v>
      </c>
    </row>
    <row r="62" spans="1:4" x14ac:dyDescent="0.35">
      <c r="A62" s="1" t="s">
        <v>25</v>
      </c>
      <c r="B62" s="8" t="s">
        <v>7</v>
      </c>
      <c r="C62" s="2">
        <f t="shared" si="2"/>
        <v>45657</v>
      </c>
      <c r="D62" s="10">
        <v>238.04</v>
      </c>
    </row>
    <row r="63" spans="1:4" x14ac:dyDescent="0.35">
      <c r="A63" s="1" t="s">
        <v>25</v>
      </c>
      <c r="B63" s="8" t="s">
        <v>7</v>
      </c>
      <c r="C63" s="2">
        <f t="shared" si="2"/>
        <v>45626</v>
      </c>
      <c r="D63" s="10">
        <v>238.88</v>
      </c>
    </row>
    <row r="64" spans="1:4" x14ac:dyDescent="0.35">
      <c r="A64" s="1" t="s">
        <v>25</v>
      </c>
      <c r="B64" s="8" t="s">
        <v>7</v>
      </c>
      <c r="C64" s="2">
        <f t="shared" si="2"/>
        <v>45596</v>
      </c>
      <c r="D64" s="10">
        <v>241.28</v>
      </c>
    </row>
    <row r="65" spans="1:4" x14ac:dyDescent="0.35">
      <c r="A65" s="1" t="s">
        <v>25</v>
      </c>
      <c r="B65" s="8" t="s">
        <v>7</v>
      </c>
      <c r="C65" s="2">
        <f t="shared" si="2"/>
        <v>45565</v>
      </c>
      <c r="D65" s="10">
        <v>272.20999999999998</v>
      </c>
    </row>
    <row r="66" spans="1:4" x14ac:dyDescent="0.35">
      <c r="A66" s="1" t="s">
        <v>25</v>
      </c>
      <c r="B66" s="8" t="s">
        <v>7</v>
      </c>
      <c r="C66" s="2">
        <f t="shared" si="2"/>
        <v>45535</v>
      </c>
      <c r="D66" s="10">
        <v>248.46</v>
      </c>
    </row>
    <row r="67" spans="1:4" x14ac:dyDescent="0.35">
      <c r="A67" s="1" t="s">
        <v>25</v>
      </c>
      <c r="B67" s="8" t="s">
        <v>7</v>
      </c>
      <c r="C67" s="2">
        <f t="shared" si="2"/>
        <v>45504</v>
      </c>
      <c r="D67" s="10">
        <v>249.52</v>
      </c>
    </row>
    <row r="68" spans="1:4" x14ac:dyDescent="0.35">
      <c r="A68" s="1" t="s">
        <v>25</v>
      </c>
      <c r="B68" s="8" t="s">
        <v>7</v>
      </c>
      <c r="C68" s="2">
        <f t="shared" si="2"/>
        <v>45473</v>
      </c>
      <c r="D68" s="10">
        <v>233.26</v>
      </c>
    </row>
    <row r="69" spans="1:4" x14ac:dyDescent="0.35">
      <c r="A69" s="1" t="s">
        <v>25</v>
      </c>
      <c r="B69" s="8" t="s">
        <v>7</v>
      </c>
      <c r="C69" s="2">
        <f t="shared" si="2"/>
        <v>45443</v>
      </c>
      <c r="D69" s="10">
        <v>257.8</v>
      </c>
    </row>
    <row r="70" spans="1:4" x14ac:dyDescent="0.35">
      <c r="A70" s="1" t="s">
        <v>25</v>
      </c>
      <c r="B70" s="8" t="s">
        <v>7</v>
      </c>
      <c r="C70" s="2">
        <f t="shared" si="2"/>
        <v>45412</v>
      </c>
      <c r="D70" s="10">
        <v>257.86</v>
      </c>
    </row>
    <row r="71" spans="1:4" x14ac:dyDescent="0.35">
      <c r="A71" s="1" t="s">
        <v>25</v>
      </c>
      <c r="B71" s="8" t="s">
        <v>7</v>
      </c>
      <c r="C71" s="2">
        <f t="shared" si="2"/>
        <v>45382</v>
      </c>
      <c r="D71" s="10">
        <v>261.94</v>
      </c>
    </row>
    <row r="72" spans="1:4" x14ac:dyDescent="0.35">
      <c r="A72" s="1" t="s">
        <v>25</v>
      </c>
      <c r="B72" s="8" t="s">
        <v>7</v>
      </c>
      <c r="C72" s="13">
        <v>45355</v>
      </c>
      <c r="D72" s="10">
        <v>239.52</v>
      </c>
    </row>
    <row r="73" spans="1:4" s="6" customFormat="1" x14ac:dyDescent="0.35">
      <c r="A73" s="16" t="s">
        <v>26</v>
      </c>
      <c r="B73" s="15" t="s">
        <v>8</v>
      </c>
      <c r="C73" s="5">
        <v>46023</v>
      </c>
      <c r="D73" s="17">
        <v>9.06</v>
      </c>
    </row>
    <row r="74" spans="1:4" x14ac:dyDescent="0.35">
      <c r="A74" s="1" t="s">
        <v>26</v>
      </c>
      <c r="B74" s="8" t="s">
        <v>8</v>
      </c>
      <c r="C74" s="2">
        <f>EOMONTH(C73,-2)+1</f>
        <v>45992</v>
      </c>
      <c r="D74" s="10">
        <v>8.9499999999999993</v>
      </c>
    </row>
    <row r="75" spans="1:4" x14ac:dyDescent="0.35">
      <c r="A75" s="1" t="s">
        <v>26</v>
      </c>
      <c r="B75" s="8" t="s">
        <v>8</v>
      </c>
      <c r="C75" s="2">
        <f t="shared" ref="C75:C120" si="3">EOMONTH(C74,-2)+1</f>
        <v>45962</v>
      </c>
      <c r="D75" s="10">
        <v>8.93</v>
      </c>
    </row>
    <row r="76" spans="1:4" x14ac:dyDescent="0.35">
      <c r="A76" s="1" t="s">
        <v>26</v>
      </c>
      <c r="B76" s="8" t="s">
        <v>8</v>
      </c>
      <c r="C76" s="2">
        <f t="shared" si="3"/>
        <v>45931</v>
      </c>
      <c r="D76" s="10">
        <v>8.9499999999999993</v>
      </c>
    </row>
    <row r="77" spans="1:4" x14ac:dyDescent="0.35">
      <c r="A77" s="1" t="s">
        <v>26</v>
      </c>
      <c r="B77" s="8" t="s">
        <v>8</v>
      </c>
      <c r="C77" s="2">
        <f t="shared" si="3"/>
        <v>45901</v>
      </c>
      <c r="D77" s="10">
        <v>8.59</v>
      </c>
    </row>
    <row r="78" spans="1:4" x14ac:dyDescent="0.35">
      <c r="A78" s="1" t="s">
        <v>26</v>
      </c>
      <c r="B78" s="8" t="s">
        <v>8</v>
      </c>
      <c r="C78" s="2">
        <f t="shared" si="3"/>
        <v>45870</v>
      </c>
      <c r="D78" s="10">
        <v>8.42</v>
      </c>
    </row>
    <row r="79" spans="1:4" x14ac:dyDescent="0.35">
      <c r="A79" s="1" t="s">
        <v>26</v>
      </c>
      <c r="B79" s="8" t="s">
        <v>8</v>
      </c>
      <c r="C79" s="2">
        <f t="shared" si="3"/>
        <v>45839</v>
      </c>
      <c r="D79" s="10">
        <v>8.43</v>
      </c>
    </row>
    <row r="80" spans="1:4" x14ac:dyDescent="0.35">
      <c r="A80" s="1" t="s">
        <v>26</v>
      </c>
      <c r="B80" s="8" t="s">
        <v>8</v>
      </c>
      <c r="C80" s="2">
        <f t="shared" si="3"/>
        <v>45809</v>
      </c>
      <c r="D80" s="10">
        <v>8.0399999999999991</v>
      </c>
    </row>
    <row r="81" spans="1:4" x14ac:dyDescent="0.35">
      <c r="A81" s="1" t="s">
        <v>26</v>
      </c>
      <c r="B81" s="8" t="s">
        <v>8</v>
      </c>
      <c r="C81" s="2">
        <f t="shared" si="3"/>
        <v>45778</v>
      </c>
      <c r="D81" s="10">
        <v>8.0399999999999991</v>
      </c>
    </row>
    <row r="82" spans="1:4" x14ac:dyDescent="0.35">
      <c r="A82" s="1" t="s">
        <v>26</v>
      </c>
      <c r="B82" s="8" t="s">
        <v>8</v>
      </c>
      <c r="C82" s="2">
        <f t="shared" si="3"/>
        <v>45748</v>
      </c>
      <c r="D82" s="10">
        <v>7.66</v>
      </c>
    </row>
    <row r="83" spans="1:4" x14ac:dyDescent="0.35">
      <c r="A83" s="1" t="s">
        <v>26</v>
      </c>
      <c r="B83" s="8" t="s">
        <v>8</v>
      </c>
      <c r="C83" s="2">
        <f t="shared" si="3"/>
        <v>45717</v>
      </c>
      <c r="D83" s="10">
        <v>8.0399999999999991</v>
      </c>
    </row>
    <row r="84" spans="1:4" x14ac:dyDescent="0.35">
      <c r="A84" s="1" t="s">
        <v>26</v>
      </c>
      <c r="B84" s="8" t="s">
        <v>8</v>
      </c>
      <c r="C84" s="2">
        <f t="shared" si="3"/>
        <v>45689</v>
      </c>
      <c r="D84" s="10">
        <v>8.66</v>
      </c>
    </row>
    <row r="85" spans="1:4" x14ac:dyDescent="0.35">
      <c r="A85" s="1" t="s">
        <v>26</v>
      </c>
      <c r="B85" s="8" t="s">
        <v>8</v>
      </c>
      <c r="C85" s="2">
        <f t="shared" si="3"/>
        <v>45658</v>
      </c>
      <c r="D85" s="10">
        <v>8.82</v>
      </c>
    </row>
    <row r="86" spans="1:4" x14ac:dyDescent="0.35">
      <c r="A86" s="1" t="s">
        <v>26</v>
      </c>
      <c r="B86" s="8" t="s">
        <v>8</v>
      </c>
      <c r="C86" s="2">
        <f t="shared" si="3"/>
        <v>45627</v>
      </c>
      <c r="D86" s="10">
        <v>8.52</v>
      </c>
    </row>
    <row r="87" spans="1:4" x14ac:dyDescent="0.35">
      <c r="A87" s="1" t="s">
        <v>26</v>
      </c>
      <c r="B87" s="8" t="s">
        <v>8</v>
      </c>
      <c r="C87" s="2">
        <f t="shared" si="3"/>
        <v>45597</v>
      </c>
      <c r="D87" s="10">
        <v>8.76</v>
      </c>
    </row>
    <row r="88" spans="1:4" x14ac:dyDescent="0.35">
      <c r="A88" s="1" t="s">
        <v>26</v>
      </c>
      <c r="B88" s="8" t="s">
        <v>8</v>
      </c>
      <c r="C88" s="2">
        <f t="shared" si="3"/>
        <v>45566</v>
      </c>
      <c r="D88" s="10">
        <v>8.3000000000000007</v>
      </c>
    </row>
    <row r="89" spans="1:4" x14ac:dyDescent="0.35">
      <c r="A89" s="1" t="s">
        <v>26</v>
      </c>
      <c r="B89" s="8" t="s">
        <v>8</v>
      </c>
      <c r="C89" s="2">
        <f t="shared" si="3"/>
        <v>45536</v>
      </c>
      <c r="D89" s="10">
        <v>8.26</v>
      </c>
    </row>
    <row r="90" spans="1:4" x14ac:dyDescent="0.35">
      <c r="A90" s="1" t="s">
        <v>26</v>
      </c>
      <c r="B90" s="8" t="s">
        <v>8</v>
      </c>
      <c r="C90" s="2">
        <f t="shared" si="3"/>
        <v>45505</v>
      </c>
      <c r="D90" s="10">
        <v>8.2100000000000009</v>
      </c>
    </row>
    <row r="91" spans="1:4" x14ac:dyDescent="0.35">
      <c r="A91" s="1" t="s">
        <v>26</v>
      </c>
      <c r="B91" s="8" t="s">
        <v>8</v>
      </c>
      <c r="C91" s="2">
        <f t="shared" si="3"/>
        <v>45474</v>
      </c>
      <c r="D91" s="10">
        <v>8.2799999999999994</v>
      </c>
    </row>
    <row r="92" spans="1:4" x14ac:dyDescent="0.35">
      <c r="A92" s="1" t="s">
        <v>26</v>
      </c>
      <c r="B92" s="8" t="s">
        <v>8</v>
      </c>
      <c r="C92" s="2">
        <f t="shared" si="3"/>
        <v>45444</v>
      </c>
      <c r="D92" s="10">
        <v>8.17</v>
      </c>
    </row>
    <row r="93" spans="1:4" x14ac:dyDescent="0.35">
      <c r="A93" s="1" t="s">
        <v>26</v>
      </c>
      <c r="B93" s="8" t="s">
        <v>8</v>
      </c>
      <c r="C93" s="2">
        <f t="shared" si="3"/>
        <v>45413</v>
      </c>
      <c r="D93" s="10">
        <v>7.87</v>
      </c>
    </row>
    <row r="94" spans="1:4" x14ac:dyDescent="0.35">
      <c r="A94" s="1" t="s">
        <v>26</v>
      </c>
      <c r="B94" s="8" t="s">
        <v>8</v>
      </c>
      <c r="C94" s="2">
        <f t="shared" si="3"/>
        <v>45383</v>
      </c>
      <c r="D94" s="10">
        <v>7.81</v>
      </c>
    </row>
    <row r="95" spans="1:4" x14ac:dyDescent="0.35">
      <c r="A95" s="1" t="s">
        <v>26</v>
      </c>
      <c r="B95" s="8" t="s">
        <v>8</v>
      </c>
      <c r="C95" s="2">
        <f t="shared" si="3"/>
        <v>45352</v>
      </c>
      <c r="D95" s="10">
        <v>8.0299999999999994</v>
      </c>
    </row>
    <row r="96" spans="1:4" x14ac:dyDescent="0.35">
      <c r="A96" s="1" t="s">
        <v>26</v>
      </c>
      <c r="B96" s="8" t="s">
        <v>8</v>
      </c>
      <c r="C96" s="2">
        <f t="shared" si="3"/>
        <v>45323</v>
      </c>
      <c r="D96" s="10">
        <v>7.79</v>
      </c>
    </row>
    <row r="97" spans="1:4" s="6" customFormat="1" x14ac:dyDescent="0.35">
      <c r="A97" s="16" t="s">
        <v>27</v>
      </c>
      <c r="B97" s="15" t="s">
        <v>9</v>
      </c>
      <c r="C97" s="5">
        <v>46023</v>
      </c>
      <c r="D97" s="17">
        <v>112.19</v>
      </c>
    </row>
    <row r="98" spans="1:4" x14ac:dyDescent="0.35">
      <c r="A98" s="1" t="s">
        <v>27</v>
      </c>
      <c r="B98" s="8" t="s">
        <v>9</v>
      </c>
      <c r="C98" s="2">
        <f t="shared" si="3"/>
        <v>45992</v>
      </c>
      <c r="D98" s="10">
        <v>111.81</v>
      </c>
    </row>
    <row r="99" spans="1:4" x14ac:dyDescent="0.35">
      <c r="A99" s="1" t="s">
        <v>27</v>
      </c>
      <c r="B99" s="8" t="s">
        <v>9</v>
      </c>
      <c r="C99" s="2">
        <f t="shared" si="3"/>
        <v>45962</v>
      </c>
      <c r="D99" s="10">
        <v>111.43</v>
      </c>
    </row>
    <row r="100" spans="1:4" x14ac:dyDescent="0.35">
      <c r="A100" s="1" t="s">
        <v>27</v>
      </c>
      <c r="B100" s="8" t="s">
        <v>9</v>
      </c>
      <c r="C100" s="2">
        <f t="shared" si="3"/>
        <v>45931</v>
      </c>
      <c r="D100" s="10">
        <v>111.82</v>
      </c>
    </row>
    <row r="101" spans="1:4" x14ac:dyDescent="0.35">
      <c r="A101" s="1" t="s">
        <v>27</v>
      </c>
      <c r="B101" s="8" t="s">
        <v>9</v>
      </c>
      <c r="C101" s="2">
        <f t="shared" si="3"/>
        <v>45901</v>
      </c>
      <c r="D101" s="10">
        <v>107.23</v>
      </c>
    </row>
    <row r="102" spans="1:4" x14ac:dyDescent="0.35">
      <c r="A102" s="1" t="s">
        <v>27</v>
      </c>
      <c r="B102" s="8" t="s">
        <v>9</v>
      </c>
      <c r="C102" s="2">
        <f t="shared" si="3"/>
        <v>45870</v>
      </c>
      <c r="D102" s="10">
        <v>104.6</v>
      </c>
    </row>
    <row r="103" spans="1:4" x14ac:dyDescent="0.35">
      <c r="A103" s="1" t="s">
        <v>27</v>
      </c>
      <c r="B103" s="8" t="s">
        <v>9</v>
      </c>
      <c r="C103" s="2">
        <f t="shared" si="3"/>
        <v>45839</v>
      </c>
      <c r="D103" s="10">
        <v>104.93</v>
      </c>
    </row>
    <row r="104" spans="1:4" x14ac:dyDescent="0.35">
      <c r="A104" s="1" t="s">
        <v>27</v>
      </c>
      <c r="B104" s="8" t="s">
        <v>9</v>
      </c>
      <c r="C104" s="2">
        <f t="shared" si="3"/>
        <v>45809</v>
      </c>
      <c r="D104" s="10">
        <v>100.15</v>
      </c>
    </row>
    <row r="105" spans="1:4" x14ac:dyDescent="0.35">
      <c r="A105" s="1" t="s">
        <v>27</v>
      </c>
      <c r="B105" s="8" t="s">
        <v>9</v>
      </c>
      <c r="C105" s="2">
        <f t="shared" si="3"/>
        <v>45778</v>
      </c>
      <c r="D105" s="10">
        <v>99.27</v>
      </c>
    </row>
    <row r="106" spans="1:4" x14ac:dyDescent="0.35">
      <c r="A106" s="1" t="s">
        <v>27</v>
      </c>
      <c r="B106" s="8" t="s">
        <v>9</v>
      </c>
      <c r="C106" s="2">
        <f t="shared" si="3"/>
        <v>45748</v>
      </c>
      <c r="D106" s="10">
        <v>93.34</v>
      </c>
    </row>
    <row r="107" spans="1:4" x14ac:dyDescent="0.35">
      <c r="A107" s="1" t="s">
        <v>27</v>
      </c>
      <c r="B107" s="8" t="s">
        <v>9</v>
      </c>
      <c r="C107" s="2">
        <f t="shared" si="3"/>
        <v>45717</v>
      </c>
      <c r="D107" s="10">
        <v>97.11</v>
      </c>
    </row>
    <row r="108" spans="1:4" x14ac:dyDescent="0.35">
      <c r="A108" s="1" t="s">
        <v>27</v>
      </c>
      <c r="B108" s="8" t="s">
        <v>9</v>
      </c>
      <c r="C108" s="2">
        <f t="shared" si="3"/>
        <v>45689</v>
      </c>
      <c r="D108" s="10">
        <v>105.43</v>
      </c>
    </row>
    <row r="109" spans="1:4" x14ac:dyDescent="0.35">
      <c r="A109" s="1" t="s">
        <v>27</v>
      </c>
      <c r="B109" s="8" t="s">
        <v>9</v>
      </c>
      <c r="C109" s="2">
        <f t="shared" si="3"/>
        <v>45658</v>
      </c>
      <c r="D109" s="10">
        <v>108.19</v>
      </c>
    </row>
    <row r="110" spans="1:4" x14ac:dyDescent="0.35">
      <c r="A110" s="1" t="s">
        <v>27</v>
      </c>
      <c r="B110" s="8" t="s">
        <v>9</v>
      </c>
      <c r="C110" s="2">
        <f t="shared" si="3"/>
        <v>45627</v>
      </c>
      <c r="D110" s="10">
        <v>103.93</v>
      </c>
    </row>
    <row r="111" spans="1:4" x14ac:dyDescent="0.35">
      <c r="A111" s="1" t="s">
        <v>27</v>
      </c>
      <c r="B111" s="8" t="s">
        <v>9</v>
      </c>
      <c r="C111" s="2">
        <f t="shared" si="3"/>
        <v>45597</v>
      </c>
      <c r="D111" s="10">
        <v>104.84</v>
      </c>
    </row>
    <row r="112" spans="1:4" x14ac:dyDescent="0.35">
      <c r="A112" s="1" t="s">
        <v>27</v>
      </c>
      <c r="B112" s="8" t="s">
        <v>9</v>
      </c>
      <c r="C112" s="2">
        <f t="shared" si="3"/>
        <v>45566</v>
      </c>
      <c r="D112" s="10">
        <v>97.55</v>
      </c>
    </row>
    <row r="113" spans="1:4" x14ac:dyDescent="0.35">
      <c r="A113" s="1" t="s">
        <v>27</v>
      </c>
      <c r="B113" s="8" t="s">
        <v>9</v>
      </c>
      <c r="C113" s="2">
        <f t="shared" si="3"/>
        <v>45536</v>
      </c>
      <c r="D113" s="10">
        <v>96.39</v>
      </c>
    </row>
    <row r="114" spans="1:4" x14ac:dyDescent="0.35">
      <c r="A114" s="1" t="s">
        <v>27</v>
      </c>
      <c r="B114" s="8" t="s">
        <v>9</v>
      </c>
      <c r="C114" s="2">
        <f t="shared" si="3"/>
        <v>45505</v>
      </c>
      <c r="D114" s="10">
        <v>95.07</v>
      </c>
    </row>
    <row r="115" spans="1:4" x14ac:dyDescent="0.35">
      <c r="A115" s="1" t="s">
        <v>27</v>
      </c>
      <c r="B115" s="8" t="s">
        <v>9</v>
      </c>
      <c r="C115" s="2">
        <f t="shared" si="3"/>
        <v>45474</v>
      </c>
      <c r="D115" s="10">
        <v>95.37</v>
      </c>
    </row>
    <row r="116" spans="1:4" x14ac:dyDescent="0.35">
      <c r="A116" s="1" t="s">
        <v>27</v>
      </c>
      <c r="B116" s="8" t="s">
        <v>9</v>
      </c>
      <c r="C116" s="2">
        <f t="shared" si="3"/>
        <v>45444</v>
      </c>
      <c r="D116" s="10">
        <v>95.18</v>
      </c>
    </row>
    <row r="117" spans="1:4" x14ac:dyDescent="0.35">
      <c r="A117" s="1" t="s">
        <v>27</v>
      </c>
      <c r="B117" s="8" t="s">
        <v>9</v>
      </c>
      <c r="C117" s="2">
        <f t="shared" si="3"/>
        <v>45413</v>
      </c>
      <c r="D117" s="10">
        <v>90.69</v>
      </c>
    </row>
    <row r="118" spans="1:4" x14ac:dyDescent="0.35">
      <c r="A118" s="1" t="s">
        <v>27</v>
      </c>
      <c r="B118" s="8" t="s">
        <v>9</v>
      </c>
      <c r="C118" s="2">
        <f t="shared" si="3"/>
        <v>45383</v>
      </c>
      <c r="D118" s="10">
        <v>89.58</v>
      </c>
    </row>
    <row r="119" spans="1:4" x14ac:dyDescent="0.35">
      <c r="A119" s="1" t="s">
        <v>27</v>
      </c>
      <c r="B119" s="8" t="s">
        <v>9</v>
      </c>
      <c r="C119" s="2">
        <f t="shared" si="3"/>
        <v>45352</v>
      </c>
      <c r="D119" s="10">
        <v>91.44</v>
      </c>
    </row>
    <row r="120" spans="1:4" x14ac:dyDescent="0.35">
      <c r="A120" s="1" t="s">
        <v>27</v>
      </c>
      <c r="B120" s="8" t="s">
        <v>9</v>
      </c>
      <c r="C120" s="2">
        <f t="shared" si="3"/>
        <v>45323</v>
      </c>
      <c r="D120" s="10">
        <v>88.17</v>
      </c>
    </row>
    <row r="121" spans="1:4" s="6" customFormat="1" x14ac:dyDescent="0.35">
      <c r="A121" s="16" t="s">
        <v>28</v>
      </c>
      <c r="B121" s="15" t="s">
        <v>10</v>
      </c>
      <c r="C121" s="18">
        <v>46053</v>
      </c>
      <c r="D121" s="17">
        <v>20.565999999999999</v>
      </c>
    </row>
    <row r="122" spans="1:4" x14ac:dyDescent="0.35">
      <c r="A122" s="1" t="s">
        <v>28</v>
      </c>
      <c r="B122" s="8" t="s">
        <v>10</v>
      </c>
      <c r="C122" s="13">
        <f>EOMONTH(C121,-1)</f>
        <v>46022</v>
      </c>
      <c r="D122" s="10">
        <v>19.82</v>
      </c>
    </row>
    <row r="123" spans="1:4" x14ac:dyDescent="0.35">
      <c r="A123" s="1" t="s">
        <v>28</v>
      </c>
      <c r="B123" s="8" t="s">
        <v>10</v>
      </c>
      <c r="C123" s="13">
        <f t="shared" ref="C123:C143" si="4">EOMONTH(C122,-1)</f>
        <v>45991</v>
      </c>
      <c r="D123" s="10">
        <v>19.492999999999999</v>
      </c>
    </row>
    <row r="124" spans="1:4" x14ac:dyDescent="0.35">
      <c r="A124" s="1" t="s">
        <v>28</v>
      </c>
      <c r="B124" s="8" t="s">
        <v>10</v>
      </c>
      <c r="C124" s="13">
        <f t="shared" si="4"/>
        <v>45961</v>
      </c>
      <c r="D124" s="10">
        <v>19.167999999999999</v>
      </c>
    </row>
    <row r="125" spans="1:4" x14ac:dyDescent="0.35">
      <c r="A125" s="1" t="s">
        <v>28</v>
      </c>
      <c r="B125" s="8" t="s">
        <v>10</v>
      </c>
      <c r="C125" s="13">
        <f t="shared" si="4"/>
        <v>45930</v>
      </c>
      <c r="D125" s="10">
        <v>18.725000000000001</v>
      </c>
    </row>
    <row r="126" spans="1:4" x14ac:dyDescent="0.35">
      <c r="A126" s="1" t="s">
        <v>28</v>
      </c>
      <c r="B126" s="8" t="s">
        <v>10</v>
      </c>
      <c r="C126" s="13">
        <f t="shared" si="4"/>
        <v>45900</v>
      </c>
      <c r="D126" s="10">
        <v>18.184000000000001</v>
      </c>
    </row>
    <row r="127" spans="1:4" x14ac:dyDescent="0.35">
      <c r="A127" s="1" t="s">
        <v>28</v>
      </c>
      <c r="B127" s="8" t="s">
        <v>10</v>
      </c>
      <c r="C127" s="13">
        <f t="shared" si="4"/>
        <v>45869</v>
      </c>
      <c r="D127" s="10">
        <v>18.065999999999999</v>
      </c>
    </row>
    <row r="128" spans="1:4" x14ac:dyDescent="0.35">
      <c r="A128" s="1" t="s">
        <v>28</v>
      </c>
      <c r="B128" s="8" t="s">
        <v>10</v>
      </c>
      <c r="C128" s="13">
        <f t="shared" si="4"/>
        <v>45838</v>
      </c>
      <c r="D128" s="10">
        <v>17.994</v>
      </c>
    </row>
    <row r="129" spans="1:4" x14ac:dyDescent="0.35">
      <c r="A129" s="1" t="s">
        <v>28</v>
      </c>
      <c r="B129" s="8" t="s">
        <v>10</v>
      </c>
      <c r="C129" s="13">
        <f t="shared" si="4"/>
        <v>45808</v>
      </c>
      <c r="D129" s="10">
        <v>17.140999999999998</v>
      </c>
    </row>
    <row r="130" spans="1:4" x14ac:dyDescent="0.35">
      <c r="A130" s="1" t="s">
        <v>28</v>
      </c>
      <c r="B130" s="8" t="s">
        <v>10</v>
      </c>
      <c r="C130" s="13">
        <f t="shared" si="4"/>
        <v>45777</v>
      </c>
      <c r="D130" s="10">
        <v>17.088000000000001</v>
      </c>
    </row>
    <row r="131" spans="1:4" x14ac:dyDescent="0.35">
      <c r="A131" s="1" t="s">
        <v>28</v>
      </c>
      <c r="B131" s="8" t="s">
        <v>10</v>
      </c>
      <c r="C131" s="13">
        <f t="shared" si="4"/>
        <v>45747</v>
      </c>
      <c r="D131" s="10">
        <v>17.411999999999999</v>
      </c>
    </row>
    <row r="132" spans="1:4" x14ac:dyDescent="0.35">
      <c r="A132" s="1" t="s">
        <v>28</v>
      </c>
      <c r="B132" s="8" t="s">
        <v>10</v>
      </c>
      <c r="C132" s="13">
        <f t="shared" si="4"/>
        <v>45716</v>
      </c>
      <c r="D132" s="10">
        <v>16.088000000000001</v>
      </c>
    </row>
    <row r="133" spans="1:4" x14ac:dyDescent="0.35">
      <c r="A133" s="1" t="s">
        <v>28</v>
      </c>
      <c r="B133" s="8" t="s">
        <v>10</v>
      </c>
      <c r="C133" s="13">
        <f t="shared" si="4"/>
        <v>45688</v>
      </c>
      <c r="D133" s="10">
        <v>15.507999999999999</v>
      </c>
    </row>
    <row r="134" spans="1:4" x14ac:dyDescent="0.35">
      <c r="A134" s="1" t="s">
        <v>28</v>
      </c>
      <c r="B134" s="8" t="s">
        <v>10</v>
      </c>
      <c r="C134" s="13">
        <f t="shared" si="4"/>
        <v>45657</v>
      </c>
      <c r="D134" s="10">
        <v>15.551</v>
      </c>
    </row>
    <row r="135" spans="1:4" x14ac:dyDescent="0.35">
      <c r="A135" s="1" t="s">
        <v>28</v>
      </c>
      <c r="B135" s="8" t="s">
        <v>10</v>
      </c>
      <c r="C135" s="13">
        <f t="shared" si="4"/>
        <v>45626</v>
      </c>
      <c r="D135" s="10">
        <v>15.557</v>
      </c>
    </row>
    <row r="136" spans="1:4" x14ac:dyDescent="0.35">
      <c r="A136" s="1" t="s">
        <v>28</v>
      </c>
      <c r="B136" s="8" t="s">
        <v>10</v>
      </c>
      <c r="C136" s="13">
        <f t="shared" si="4"/>
        <v>45596</v>
      </c>
      <c r="D136" s="10">
        <v>15.759</v>
      </c>
    </row>
    <row r="137" spans="1:4" x14ac:dyDescent="0.35">
      <c r="A137" s="1" t="s">
        <v>28</v>
      </c>
      <c r="B137" s="8" t="s">
        <v>10</v>
      </c>
      <c r="C137" s="13">
        <f t="shared" si="4"/>
        <v>45565</v>
      </c>
      <c r="D137" s="10">
        <v>15.695</v>
      </c>
    </row>
    <row r="138" spans="1:4" x14ac:dyDescent="0.35">
      <c r="A138" s="1" t="s">
        <v>28</v>
      </c>
      <c r="B138" s="8" t="s">
        <v>10</v>
      </c>
      <c r="C138" s="13">
        <f t="shared" si="4"/>
        <v>45535</v>
      </c>
      <c r="D138" s="10">
        <v>15.489000000000001</v>
      </c>
    </row>
    <row r="139" spans="1:4" x14ac:dyDescent="0.35">
      <c r="A139" s="1" t="s">
        <v>28</v>
      </c>
      <c r="B139" s="8" t="s">
        <v>10</v>
      </c>
      <c r="C139" s="13">
        <f t="shared" si="4"/>
        <v>45504</v>
      </c>
      <c r="D139" s="10">
        <v>15.115</v>
      </c>
    </row>
    <row r="140" spans="1:4" x14ac:dyDescent="0.35">
      <c r="A140" s="1" t="s">
        <v>28</v>
      </c>
      <c r="B140" s="8" t="s">
        <v>10</v>
      </c>
      <c r="C140" s="13">
        <f t="shared" si="4"/>
        <v>45473</v>
      </c>
      <c r="D140" s="10">
        <v>15.635999999999999</v>
      </c>
    </row>
    <row r="141" spans="1:4" x14ac:dyDescent="0.35">
      <c r="A141" s="1" t="s">
        <v>28</v>
      </c>
      <c r="B141" s="8" t="s">
        <v>10</v>
      </c>
      <c r="C141" s="13">
        <f t="shared" si="4"/>
        <v>45443</v>
      </c>
      <c r="D141" s="10">
        <v>14.88</v>
      </c>
    </row>
    <row r="142" spans="1:4" x14ac:dyDescent="0.35">
      <c r="A142" s="1" t="s">
        <v>28</v>
      </c>
      <c r="B142" s="8" t="s">
        <v>10</v>
      </c>
      <c r="C142" s="13">
        <f t="shared" si="4"/>
        <v>45412</v>
      </c>
      <c r="D142" s="10">
        <v>14.744999999999999</v>
      </c>
    </row>
    <row r="143" spans="1:4" x14ac:dyDescent="0.35">
      <c r="A143" s="1" t="s">
        <v>28</v>
      </c>
      <c r="B143" s="8" t="s">
        <v>10</v>
      </c>
      <c r="C143" s="13">
        <f t="shared" si="4"/>
        <v>45382</v>
      </c>
      <c r="D143" s="10">
        <v>13.974</v>
      </c>
    </row>
    <row r="144" spans="1:4" s="6" customFormat="1" x14ac:dyDescent="0.35">
      <c r="A144" s="16" t="s">
        <v>29</v>
      </c>
      <c r="B144" s="15" t="s">
        <v>11</v>
      </c>
      <c r="C144" s="18">
        <v>45700</v>
      </c>
      <c r="D144" s="17">
        <v>5</v>
      </c>
    </row>
    <row r="145" spans="1:4" x14ac:dyDescent="0.35">
      <c r="A145" s="1" t="s">
        <v>29</v>
      </c>
      <c r="B145" s="8" t="s">
        <v>11</v>
      </c>
      <c r="C145" s="13">
        <v>45720</v>
      </c>
      <c r="D145" s="10">
        <v>4.95</v>
      </c>
    </row>
    <row r="146" spans="1:4" x14ac:dyDescent="0.35">
      <c r="A146" s="1" t="s">
        <v>29</v>
      </c>
      <c r="B146" s="8" t="s">
        <v>11</v>
      </c>
      <c r="C146" s="13">
        <v>45729</v>
      </c>
      <c r="D146" s="10">
        <v>4.8</v>
      </c>
    </row>
    <row r="147" spans="1:4" x14ac:dyDescent="0.35">
      <c r="A147" s="1" t="s">
        <v>29</v>
      </c>
      <c r="B147" s="8" t="s">
        <v>11</v>
      </c>
      <c r="C147" s="13">
        <v>45741</v>
      </c>
      <c r="D147" s="10">
        <v>4.84</v>
      </c>
    </row>
    <row r="148" spans="1:4" x14ac:dyDescent="0.35">
      <c r="A148" s="1" t="s">
        <v>29</v>
      </c>
      <c r="B148" s="8" t="s">
        <v>11</v>
      </c>
      <c r="C148" s="13">
        <v>45755</v>
      </c>
      <c r="D148" s="10">
        <v>4.67</v>
      </c>
    </row>
    <row r="149" spans="1:4" x14ac:dyDescent="0.35">
      <c r="A149" s="1" t="s">
        <v>29</v>
      </c>
      <c r="B149" s="8" t="s">
        <v>11</v>
      </c>
      <c r="C149" s="13">
        <v>45770</v>
      </c>
      <c r="D149" s="10">
        <v>4.66</v>
      </c>
    </row>
    <row r="150" spans="1:4" x14ac:dyDescent="0.35">
      <c r="A150" s="1" t="s">
        <v>29</v>
      </c>
      <c r="B150" s="8" t="s">
        <v>11</v>
      </c>
      <c r="C150" s="13">
        <v>45789</v>
      </c>
      <c r="D150" s="10">
        <v>4.8099999999999996</v>
      </c>
    </row>
    <row r="151" spans="1:4" x14ac:dyDescent="0.35">
      <c r="A151" s="1" t="s">
        <v>29</v>
      </c>
      <c r="B151" s="8" t="s">
        <v>11</v>
      </c>
      <c r="C151" s="13">
        <v>45796</v>
      </c>
      <c r="D151" s="10">
        <v>4.92</v>
      </c>
    </row>
    <row r="152" spans="1:4" x14ac:dyDescent="0.35">
      <c r="A152" s="1" t="s">
        <v>29</v>
      </c>
      <c r="B152" s="8" t="s">
        <v>11</v>
      </c>
      <c r="C152" s="13">
        <v>45818</v>
      </c>
      <c r="D152" s="10">
        <v>4.91</v>
      </c>
    </row>
    <row r="153" spans="1:4" x14ac:dyDescent="0.35">
      <c r="A153" s="1" t="s">
        <v>29</v>
      </c>
      <c r="B153" s="8" t="s">
        <v>11</v>
      </c>
      <c r="C153" s="13">
        <v>45860</v>
      </c>
      <c r="D153" s="10">
        <v>4.9400000000000004</v>
      </c>
    </row>
    <row r="154" spans="1:4" x14ac:dyDescent="0.35">
      <c r="A154" s="1" t="s">
        <v>29</v>
      </c>
      <c r="B154" s="8" t="s">
        <v>11</v>
      </c>
      <c r="C154" s="13">
        <v>45898</v>
      </c>
      <c r="D154" s="10">
        <v>4.99</v>
      </c>
    </row>
    <row r="155" spans="1:4" x14ac:dyDescent="0.35">
      <c r="A155" s="1" t="s">
        <v>29</v>
      </c>
      <c r="B155" s="8" t="s">
        <v>11</v>
      </c>
      <c r="C155" s="13">
        <v>45918</v>
      </c>
      <c r="D155" s="10">
        <v>4.9800000000000004</v>
      </c>
    </row>
    <row r="156" spans="1:4" x14ac:dyDescent="0.35">
      <c r="A156" s="1" t="s">
        <v>29</v>
      </c>
      <c r="B156" s="8" t="s">
        <v>11</v>
      </c>
      <c r="C156" s="13">
        <v>45937</v>
      </c>
      <c r="D156" s="10">
        <v>5.04</v>
      </c>
    </row>
    <row r="157" spans="1:4" x14ac:dyDescent="0.35">
      <c r="A157" s="1" t="s">
        <v>29</v>
      </c>
      <c r="B157" s="8" t="s">
        <v>11</v>
      </c>
      <c r="C157" s="13">
        <v>45947</v>
      </c>
      <c r="D157" s="10">
        <v>5.01</v>
      </c>
    </row>
    <row r="158" spans="1:4" x14ac:dyDescent="0.35">
      <c r="A158" s="1" t="s">
        <v>29</v>
      </c>
      <c r="B158" s="8" t="s">
        <v>11</v>
      </c>
      <c r="C158" s="13">
        <v>45964</v>
      </c>
      <c r="D158" s="10">
        <v>5.0999999999999996</v>
      </c>
    </row>
    <row r="159" spans="1:4" x14ac:dyDescent="0.35">
      <c r="A159" s="1" t="s">
        <v>29</v>
      </c>
      <c r="B159" s="8" t="s">
        <v>11</v>
      </c>
      <c r="C159" s="13">
        <v>45982</v>
      </c>
      <c r="D159" s="10">
        <v>4.9400000000000004</v>
      </c>
    </row>
    <row r="160" spans="1:4" x14ac:dyDescent="0.35">
      <c r="A160" s="1" t="s">
        <v>29</v>
      </c>
      <c r="B160" s="8" t="s">
        <v>11</v>
      </c>
      <c r="C160" s="13">
        <v>45989</v>
      </c>
      <c r="D160" s="10">
        <v>5.05</v>
      </c>
    </row>
    <row r="161" spans="1:4" x14ac:dyDescent="0.35">
      <c r="A161" s="1" t="s">
        <v>29</v>
      </c>
      <c r="B161" s="8" t="s">
        <v>11</v>
      </c>
      <c r="C161" s="13">
        <v>46009</v>
      </c>
      <c r="D161" s="10">
        <v>4.92</v>
      </c>
    </row>
    <row r="162" spans="1:4" x14ac:dyDescent="0.35">
      <c r="A162" s="1" t="s">
        <v>29</v>
      </c>
      <c r="B162" s="8" t="s">
        <v>11</v>
      </c>
      <c r="C162" s="13">
        <v>46022</v>
      </c>
      <c r="D162" s="10">
        <v>5.01</v>
      </c>
    </row>
    <row r="163" spans="1:4" x14ac:dyDescent="0.35">
      <c r="A163" s="1" t="s">
        <v>29</v>
      </c>
      <c r="B163" s="8" t="s">
        <v>11</v>
      </c>
      <c r="C163" s="13">
        <v>45669</v>
      </c>
      <c r="D163" s="10">
        <v>5.1100000000000003</v>
      </c>
    </row>
    <row r="164" spans="1:4" x14ac:dyDescent="0.35">
      <c r="A164" s="1" t="s">
        <v>29</v>
      </c>
      <c r="B164" s="8" t="s">
        <v>11</v>
      </c>
      <c r="C164" s="13">
        <v>46043</v>
      </c>
      <c r="D164" s="10">
        <v>4.96</v>
      </c>
    </row>
    <row r="165" spans="1:4" x14ac:dyDescent="0.35">
      <c r="A165" s="1" t="s">
        <v>29</v>
      </c>
      <c r="B165" s="8" t="s">
        <v>11</v>
      </c>
      <c r="C165" s="13">
        <v>46045</v>
      </c>
      <c r="D165" s="10">
        <v>5</v>
      </c>
    </row>
    <row r="166" spans="1:4" x14ac:dyDescent="0.35">
      <c r="A166" s="1" t="s">
        <v>29</v>
      </c>
      <c r="B166" s="8" t="s">
        <v>11</v>
      </c>
      <c r="C166" s="13">
        <v>46050</v>
      </c>
      <c r="D166" s="10">
        <v>4.97</v>
      </c>
    </row>
    <row r="167" spans="1:4" s="6" customFormat="1" x14ac:dyDescent="0.35">
      <c r="A167" s="16" t="s">
        <v>30</v>
      </c>
      <c r="B167" s="15" t="s">
        <v>12</v>
      </c>
      <c r="C167" s="18">
        <v>46053</v>
      </c>
      <c r="D167" s="17">
        <v>178.88</v>
      </c>
    </row>
    <row r="168" spans="1:4" x14ac:dyDescent="0.35">
      <c r="A168" s="1" t="s">
        <v>30</v>
      </c>
      <c r="B168" s="8" t="s">
        <v>12</v>
      </c>
      <c r="C168" s="13">
        <f>EOMONTH(C167,-1)</f>
        <v>46022</v>
      </c>
      <c r="D168" s="10">
        <v>188.55</v>
      </c>
    </row>
    <row r="169" spans="1:4" x14ac:dyDescent="0.35">
      <c r="A169" s="1" t="s">
        <v>30</v>
      </c>
      <c r="B169" s="8" t="s">
        <v>12</v>
      </c>
      <c r="C169" s="13">
        <f t="shared" ref="C169:C189" si="5">EOMONTH(C168,-1)</f>
        <v>45991</v>
      </c>
      <c r="D169" s="10">
        <v>189.84</v>
      </c>
    </row>
    <row r="170" spans="1:4" x14ac:dyDescent="0.35">
      <c r="A170" s="1" t="s">
        <v>30</v>
      </c>
      <c r="B170" s="8" t="s">
        <v>12</v>
      </c>
      <c r="C170" s="13">
        <f t="shared" si="5"/>
        <v>45961</v>
      </c>
      <c r="D170" s="10">
        <v>191.52</v>
      </c>
    </row>
    <row r="171" spans="1:4" x14ac:dyDescent="0.35">
      <c r="A171" s="1" t="s">
        <v>30</v>
      </c>
      <c r="B171" s="8" t="s">
        <v>12</v>
      </c>
      <c r="C171" s="13">
        <f t="shared" si="5"/>
        <v>45930</v>
      </c>
      <c r="D171" s="10">
        <v>193.84</v>
      </c>
    </row>
    <row r="172" spans="1:4" x14ac:dyDescent="0.35">
      <c r="A172" s="1" t="s">
        <v>30</v>
      </c>
      <c r="B172" s="8" t="s">
        <v>12</v>
      </c>
      <c r="C172" s="13">
        <f t="shared" si="5"/>
        <v>45900</v>
      </c>
      <c r="D172" s="10">
        <v>199.48</v>
      </c>
    </row>
    <row r="173" spans="1:4" x14ac:dyDescent="0.35">
      <c r="A173" s="1" t="s">
        <v>30</v>
      </c>
      <c r="B173" s="8" t="s">
        <v>12</v>
      </c>
      <c r="C173" s="13">
        <f t="shared" si="5"/>
        <v>45869</v>
      </c>
      <c r="D173" s="10">
        <v>205.93</v>
      </c>
    </row>
    <row r="174" spans="1:4" x14ac:dyDescent="0.35">
      <c r="A174" s="1" t="s">
        <v>30</v>
      </c>
      <c r="B174" s="8" t="s">
        <v>12</v>
      </c>
      <c r="C174" s="13">
        <f t="shared" si="5"/>
        <v>45838</v>
      </c>
      <c r="D174" s="10">
        <v>200.75</v>
      </c>
    </row>
    <row r="175" spans="1:4" x14ac:dyDescent="0.35">
      <c r="A175" s="1" t="s">
        <v>30</v>
      </c>
      <c r="B175" s="8" t="s">
        <v>12</v>
      </c>
      <c r="C175" s="13">
        <f t="shared" si="5"/>
        <v>45808</v>
      </c>
      <c r="D175" s="10">
        <v>208.33</v>
      </c>
    </row>
    <row r="176" spans="1:4" x14ac:dyDescent="0.35">
      <c r="A176" s="1" t="s">
        <v>30</v>
      </c>
      <c r="B176" s="8" t="s">
        <v>12</v>
      </c>
      <c r="C176" s="13">
        <f t="shared" si="5"/>
        <v>45777</v>
      </c>
      <c r="D176" s="10">
        <v>196.24</v>
      </c>
    </row>
    <row r="177" spans="1:4" x14ac:dyDescent="0.35">
      <c r="A177" s="1" t="s">
        <v>30</v>
      </c>
      <c r="B177" s="8" t="s">
        <v>12</v>
      </c>
      <c r="C177" s="13">
        <f t="shared" si="5"/>
        <v>45747</v>
      </c>
      <c r="D177" s="10">
        <v>209.12</v>
      </c>
    </row>
    <row r="178" spans="1:4" x14ac:dyDescent="0.35">
      <c r="A178" s="1" t="s">
        <v>30</v>
      </c>
      <c r="B178" s="8" t="s">
        <v>12</v>
      </c>
      <c r="C178" s="13">
        <f t="shared" si="5"/>
        <v>45716</v>
      </c>
      <c r="D178" s="10">
        <v>222.33</v>
      </c>
    </row>
    <row r="179" spans="1:4" x14ac:dyDescent="0.35">
      <c r="A179" s="1" t="s">
        <v>30</v>
      </c>
      <c r="B179" s="8" t="s">
        <v>12</v>
      </c>
      <c r="C179" s="13">
        <f t="shared" si="5"/>
        <v>45688</v>
      </c>
      <c r="D179" s="10">
        <v>225.84</v>
      </c>
    </row>
    <row r="180" spans="1:4" x14ac:dyDescent="0.35">
      <c r="A180" s="1" t="s">
        <v>30</v>
      </c>
      <c r="B180" s="8" t="s">
        <v>12</v>
      </c>
      <c r="C180" s="13">
        <f t="shared" si="5"/>
        <v>45657</v>
      </c>
      <c r="D180" s="10">
        <v>214.7</v>
      </c>
    </row>
    <row r="181" spans="1:4" x14ac:dyDescent="0.35">
      <c r="A181" s="1" t="s">
        <v>30</v>
      </c>
      <c r="B181" s="8" t="s">
        <v>12</v>
      </c>
      <c r="C181" s="13">
        <f t="shared" si="5"/>
        <v>45626</v>
      </c>
      <c r="D181" s="10">
        <v>216.15</v>
      </c>
    </row>
    <row r="182" spans="1:4" x14ac:dyDescent="0.35">
      <c r="A182" s="1" t="s">
        <v>30</v>
      </c>
      <c r="B182" s="8" t="s">
        <v>12</v>
      </c>
      <c r="C182" s="13">
        <f t="shared" si="5"/>
        <v>45596</v>
      </c>
      <c r="D182" s="10">
        <v>205.45</v>
      </c>
    </row>
    <row r="183" spans="1:4" x14ac:dyDescent="0.35">
      <c r="A183" s="1" t="s">
        <v>30</v>
      </c>
      <c r="B183" s="8" t="s">
        <v>12</v>
      </c>
      <c r="C183" s="13">
        <f t="shared" si="5"/>
        <v>45565</v>
      </c>
      <c r="D183" s="10">
        <v>206.06</v>
      </c>
    </row>
    <row r="184" spans="1:4" x14ac:dyDescent="0.35">
      <c r="A184" s="1" t="s">
        <v>30</v>
      </c>
      <c r="B184" s="8" t="s">
        <v>12</v>
      </c>
      <c r="C184" s="13">
        <f t="shared" si="5"/>
        <v>45535</v>
      </c>
      <c r="D184" s="10">
        <v>203.38</v>
      </c>
    </row>
    <row r="185" spans="1:4" x14ac:dyDescent="0.35">
      <c r="A185" s="1" t="s">
        <v>30</v>
      </c>
      <c r="B185" s="8" t="s">
        <v>12</v>
      </c>
      <c r="C185" s="13">
        <f t="shared" si="5"/>
        <v>45504</v>
      </c>
      <c r="D185" s="10">
        <v>200.78</v>
      </c>
    </row>
    <row r="186" spans="1:4" x14ac:dyDescent="0.35">
      <c r="A186" s="1" t="s">
        <v>30</v>
      </c>
      <c r="B186" s="8" t="s">
        <v>12</v>
      </c>
      <c r="C186" s="13">
        <f t="shared" si="5"/>
        <v>45473</v>
      </c>
      <c r="D186" s="10">
        <v>197.53</v>
      </c>
    </row>
    <row r="187" spans="1:4" x14ac:dyDescent="0.35">
      <c r="A187" s="1" t="s">
        <v>30</v>
      </c>
      <c r="B187" s="8" t="s">
        <v>12</v>
      </c>
      <c r="C187" s="13">
        <f t="shared" si="5"/>
        <v>45443</v>
      </c>
      <c r="D187" s="10">
        <v>189.65</v>
      </c>
    </row>
    <row r="188" spans="1:4" x14ac:dyDescent="0.35">
      <c r="A188" s="1" t="s">
        <v>30</v>
      </c>
      <c r="B188" s="8" t="s">
        <v>12</v>
      </c>
      <c r="C188" s="13">
        <f t="shared" si="5"/>
        <v>45412</v>
      </c>
      <c r="D188" s="10">
        <v>191.45</v>
      </c>
    </row>
    <row r="189" spans="1:4" x14ac:dyDescent="0.35">
      <c r="A189" s="1" t="s">
        <v>30</v>
      </c>
      <c r="B189" s="8" t="s">
        <v>12</v>
      </c>
      <c r="C189" s="13">
        <f t="shared" si="5"/>
        <v>45382</v>
      </c>
      <c r="D189" s="10">
        <v>199.57</v>
      </c>
    </row>
    <row r="190" spans="1:4" s="6" customFormat="1" x14ac:dyDescent="0.35">
      <c r="A190" s="16" t="s">
        <v>31</v>
      </c>
      <c r="B190" s="15" t="s">
        <v>13</v>
      </c>
      <c r="C190" s="18">
        <v>46053</v>
      </c>
      <c r="D190" s="17">
        <v>134.78</v>
      </c>
    </row>
    <row r="191" spans="1:4" x14ac:dyDescent="0.35">
      <c r="A191" s="1" t="s">
        <v>31</v>
      </c>
      <c r="B191" s="8" t="s">
        <v>13</v>
      </c>
      <c r="C191" s="13">
        <f>EOMONTH(C190,-1)</f>
        <v>46022</v>
      </c>
      <c r="D191" s="10">
        <v>137.12</v>
      </c>
    </row>
    <row r="192" spans="1:4" x14ac:dyDescent="0.35">
      <c r="A192" s="1" t="s">
        <v>31</v>
      </c>
      <c r="B192" s="8" t="s">
        <v>13</v>
      </c>
      <c r="C192" s="13">
        <f t="shared" ref="C192:C212" si="6">EOMONTH(C191,-1)</f>
        <v>45991</v>
      </c>
      <c r="D192" s="10">
        <v>136.58000000000001</v>
      </c>
    </row>
    <row r="193" spans="1:4" x14ac:dyDescent="0.35">
      <c r="A193" s="1" t="s">
        <v>31</v>
      </c>
      <c r="B193" s="8" t="s">
        <v>13</v>
      </c>
      <c r="C193" s="13">
        <f t="shared" si="6"/>
        <v>45961</v>
      </c>
      <c r="D193" s="10">
        <v>145.01</v>
      </c>
    </row>
    <row r="194" spans="1:4" x14ac:dyDescent="0.35">
      <c r="A194" s="1" t="s">
        <v>31</v>
      </c>
      <c r="B194" s="8" t="s">
        <v>13</v>
      </c>
      <c r="C194" s="13">
        <f t="shared" si="6"/>
        <v>45930</v>
      </c>
      <c r="D194" s="10">
        <v>142.58000000000001</v>
      </c>
    </row>
    <row r="195" spans="1:4" x14ac:dyDescent="0.35">
      <c r="A195" s="1" t="s">
        <v>31</v>
      </c>
      <c r="B195" s="8" t="s">
        <v>13</v>
      </c>
      <c r="C195" s="13">
        <f t="shared" si="6"/>
        <v>45900</v>
      </c>
      <c r="D195" s="10">
        <v>139.96</v>
      </c>
    </row>
    <row r="196" spans="1:4" x14ac:dyDescent="0.35">
      <c r="A196" s="1" t="s">
        <v>31</v>
      </c>
      <c r="B196" s="8" t="s">
        <v>13</v>
      </c>
      <c r="C196" s="13">
        <f t="shared" si="6"/>
        <v>45869</v>
      </c>
      <c r="D196" s="10">
        <v>143.13</v>
      </c>
    </row>
    <row r="197" spans="1:4" x14ac:dyDescent="0.35">
      <c r="A197" s="1" t="s">
        <v>31</v>
      </c>
      <c r="B197" s="8" t="s">
        <v>13</v>
      </c>
      <c r="C197" s="13">
        <f t="shared" si="6"/>
        <v>45838</v>
      </c>
      <c r="D197" s="10">
        <v>142.94</v>
      </c>
    </row>
    <row r="198" spans="1:4" x14ac:dyDescent="0.35">
      <c r="A198" s="1" t="s">
        <v>31</v>
      </c>
      <c r="B198" s="8" t="s">
        <v>13</v>
      </c>
      <c r="C198" s="13">
        <f t="shared" si="6"/>
        <v>45808</v>
      </c>
      <c r="D198" s="10">
        <v>139.54</v>
      </c>
    </row>
    <row r="199" spans="1:4" x14ac:dyDescent="0.35">
      <c r="A199" s="1" t="s">
        <v>31</v>
      </c>
      <c r="B199" s="8" t="s">
        <v>13</v>
      </c>
      <c r="C199" s="13">
        <f t="shared" si="6"/>
        <v>45777</v>
      </c>
      <c r="D199" s="10">
        <v>127.7</v>
      </c>
    </row>
    <row r="200" spans="1:4" x14ac:dyDescent="0.35">
      <c r="A200" s="1" t="s">
        <v>31</v>
      </c>
      <c r="B200" s="8" t="s">
        <v>13</v>
      </c>
      <c r="C200" s="13">
        <f t="shared" si="6"/>
        <v>45747</v>
      </c>
      <c r="D200" s="10">
        <v>128.66</v>
      </c>
    </row>
    <row r="201" spans="1:4" x14ac:dyDescent="0.35">
      <c r="A201" s="1" t="s">
        <v>31</v>
      </c>
      <c r="B201" s="8" t="s">
        <v>13</v>
      </c>
      <c r="C201" s="13">
        <f t="shared" si="6"/>
        <v>45716</v>
      </c>
      <c r="D201" s="10">
        <v>145.03</v>
      </c>
    </row>
    <row r="202" spans="1:4" x14ac:dyDescent="0.35">
      <c r="A202" s="1" t="s">
        <v>31</v>
      </c>
      <c r="B202" s="8" t="s">
        <v>13</v>
      </c>
      <c r="C202" s="13">
        <f t="shared" si="6"/>
        <v>45688</v>
      </c>
      <c r="D202" s="10">
        <v>150.03</v>
      </c>
    </row>
    <row r="203" spans="1:4" x14ac:dyDescent="0.35">
      <c r="A203" s="1" t="s">
        <v>31</v>
      </c>
      <c r="B203" s="8" t="s">
        <v>13</v>
      </c>
      <c r="C203" s="13">
        <f t="shared" si="6"/>
        <v>45657</v>
      </c>
      <c r="D203" s="10">
        <v>139.55000000000001</v>
      </c>
    </row>
    <row r="204" spans="1:4" x14ac:dyDescent="0.35">
      <c r="A204" s="1" t="s">
        <v>31</v>
      </c>
      <c r="B204" s="8" t="s">
        <v>13</v>
      </c>
      <c r="C204" s="13">
        <f t="shared" si="6"/>
        <v>45626</v>
      </c>
      <c r="D204" s="10">
        <v>140.61000000000001</v>
      </c>
    </row>
    <row r="205" spans="1:4" x14ac:dyDescent="0.35">
      <c r="A205" s="1" t="s">
        <v>31</v>
      </c>
      <c r="B205" s="8" t="s">
        <v>13</v>
      </c>
      <c r="C205" s="13">
        <f t="shared" si="6"/>
        <v>45596</v>
      </c>
      <c r="D205" s="10">
        <v>128.83000000000001</v>
      </c>
    </row>
    <row r="206" spans="1:4" x14ac:dyDescent="0.35">
      <c r="A206" s="1" t="s">
        <v>31</v>
      </c>
      <c r="B206" s="8" t="s">
        <v>13</v>
      </c>
      <c r="C206" s="13">
        <f t="shared" si="6"/>
        <v>45565</v>
      </c>
      <c r="D206" s="10">
        <v>125.25</v>
      </c>
    </row>
    <row r="207" spans="1:4" x14ac:dyDescent="0.35">
      <c r="A207" s="1" t="s">
        <v>31</v>
      </c>
      <c r="B207" s="8" t="s">
        <v>13</v>
      </c>
      <c r="C207" s="13">
        <f t="shared" si="6"/>
        <v>45535</v>
      </c>
      <c r="D207" s="10">
        <v>118.23</v>
      </c>
    </row>
    <row r="208" spans="1:4" x14ac:dyDescent="0.35">
      <c r="A208" s="1" t="s">
        <v>31</v>
      </c>
      <c r="B208" s="8" t="s">
        <v>13</v>
      </c>
      <c r="C208" s="13">
        <f t="shared" si="6"/>
        <v>45504</v>
      </c>
      <c r="D208" s="10">
        <v>113.6</v>
      </c>
    </row>
    <row r="209" spans="1:4" x14ac:dyDescent="0.35">
      <c r="A209" s="1" t="s">
        <v>31</v>
      </c>
      <c r="B209" s="8" t="s">
        <v>13</v>
      </c>
      <c r="C209" s="13">
        <f t="shared" si="6"/>
        <v>45473</v>
      </c>
      <c r="D209" s="10">
        <v>118.91</v>
      </c>
    </row>
    <row r="210" spans="1:4" x14ac:dyDescent="0.35">
      <c r="A210" s="1" t="s">
        <v>31</v>
      </c>
      <c r="B210" s="8" t="s">
        <v>13</v>
      </c>
      <c r="C210" s="13">
        <f t="shared" si="6"/>
        <v>45443</v>
      </c>
      <c r="D210" s="10">
        <v>111.53</v>
      </c>
    </row>
    <row r="211" spans="1:4" x14ac:dyDescent="0.35">
      <c r="A211" s="1" t="s">
        <v>31</v>
      </c>
      <c r="B211" s="8" t="s">
        <v>13</v>
      </c>
      <c r="C211" s="13">
        <f t="shared" si="6"/>
        <v>45412</v>
      </c>
      <c r="D211" s="10">
        <v>115.25</v>
      </c>
    </row>
    <row r="212" spans="1:4" x14ac:dyDescent="0.35">
      <c r="A212" s="1" t="s">
        <v>31</v>
      </c>
      <c r="B212" s="8" t="s">
        <v>13</v>
      </c>
      <c r="C212" s="13">
        <f t="shared" si="6"/>
        <v>45382</v>
      </c>
      <c r="D212" s="10">
        <v>119.03</v>
      </c>
    </row>
    <row r="213" spans="1:4" s="6" customFormat="1" x14ac:dyDescent="0.35">
      <c r="A213" s="16" t="s">
        <v>32</v>
      </c>
      <c r="B213" s="15" t="s">
        <v>14</v>
      </c>
      <c r="C213" s="18">
        <v>46053</v>
      </c>
      <c r="D213" s="17">
        <v>35.299999999999997</v>
      </c>
    </row>
    <row r="214" spans="1:4" x14ac:dyDescent="0.35">
      <c r="A214" s="1" t="s">
        <v>32</v>
      </c>
      <c r="B214" s="8" t="s">
        <v>14</v>
      </c>
      <c r="C214" s="13">
        <f>EOMONTH(C213,-1)</f>
        <v>46022</v>
      </c>
      <c r="D214" s="10">
        <v>34.171999999999997</v>
      </c>
    </row>
    <row r="215" spans="1:4" x14ac:dyDescent="0.35">
      <c r="A215" s="1" t="s">
        <v>32</v>
      </c>
      <c r="B215" s="8" t="s">
        <v>14</v>
      </c>
      <c r="C215" s="13">
        <f t="shared" ref="C215:C235" si="7">EOMONTH(C214,-1)</f>
        <v>45991</v>
      </c>
      <c r="D215" s="10">
        <v>34.558</v>
      </c>
    </row>
    <row r="216" spans="1:4" x14ac:dyDescent="0.35">
      <c r="A216" s="1" t="s">
        <v>32</v>
      </c>
      <c r="B216" s="8" t="s">
        <v>14</v>
      </c>
      <c r="C216" s="13">
        <f t="shared" si="7"/>
        <v>45961</v>
      </c>
      <c r="D216" s="10">
        <v>35.603999999999999</v>
      </c>
    </row>
    <row r="217" spans="1:4" x14ac:dyDescent="0.35">
      <c r="A217" s="1" t="s">
        <v>32</v>
      </c>
      <c r="B217" s="8" t="s">
        <v>14</v>
      </c>
      <c r="C217" s="13">
        <f t="shared" si="7"/>
        <v>45930</v>
      </c>
      <c r="D217" s="10">
        <v>34.231999999999999</v>
      </c>
    </row>
    <row r="218" spans="1:4" x14ac:dyDescent="0.35">
      <c r="A218" s="1" t="s">
        <v>32</v>
      </c>
      <c r="B218" s="8" t="s">
        <v>14</v>
      </c>
      <c r="C218" s="13">
        <f t="shared" si="7"/>
        <v>45900</v>
      </c>
      <c r="D218" s="10">
        <v>33.585000000000001</v>
      </c>
    </row>
    <row r="219" spans="1:4" x14ac:dyDescent="0.35">
      <c r="A219" s="1" t="s">
        <v>32</v>
      </c>
      <c r="B219" s="8" t="s">
        <v>14</v>
      </c>
      <c r="C219" s="13">
        <f t="shared" si="7"/>
        <v>45869</v>
      </c>
      <c r="D219" s="10">
        <v>34.164999999999999</v>
      </c>
    </row>
    <row r="220" spans="1:4" x14ac:dyDescent="0.35">
      <c r="A220" s="1" t="s">
        <v>32</v>
      </c>
      <c r="B220" s="8" t="s">
        <v>14</v>
      </c>
      <c r="C220" s="13">
        <f t="shared" si="7"/>
        <v>45838</v>
      </c>
      <c r="D220" s="10">
        <v>32.673000000000002</v>
      </c>
    </row>
    <row r="221" spans="1:4" x14ac:dyDescent="0.35">
      <c r="A221" s="1" t="s">
        <v>32</v>
      </c>
      <c r="B221" s="8" t="s">
        <v>14</v>
      </c>
      <c r="C221" s="13">
        <f t="shared" si="7"/>
        <v>45808</v>
      </c>
      <c r="D221" s="10">
        <v>32.520000000000003</v>
      </c>
    </row>
    <row r="222" spans="1:4" x14ac:dyDescent="0.35">
      <c r="A222" s="1" t="s">
        <v>32</v>
      </c>
      <c r="B222" s="8" t="s">
        <v>14</v>
      </c>
      <c r="C222" s="13">
        <f t="shared" si="7"/>
        <v>45777</v>
      </c>
      <c r="D222" s="10">
        <v>30.423999999999999</v>
      </c>
    </row>
    <row r="223" spans="1:4" x14ac:dyDescent="0.35">
      <c r="A223" s="1" t="s">
        <v>32</v>
      </c>
      <c r="B223" s="8" t="s">
        <v>14</v>
      </c>
      <c r="C223" s="13">
        <f t="shared" si="7"/>
        <v>45747</v>
      </c>
      <c r="D223" s="10">
        <v>31.577999999999999</v>
      </c>
    </row>
    <row r="224" spans="1:4" x14ac:dyDescent="0.35">
      <c r="A224" s="1" t="s">
        <v>32</v>
      </c>
      <c r="B224" s="8" t="s">
        <v>14</v>
      </c>
      <c r="C224" s="13">
        <f t="shared" si="7"/>
        <v>45716</v>
      </c>
      <c r="D224" s="10">
        <v>33.758000000000003</v>
      </c>
    </row>
    <row r="225" spans="1:4" x14ac:dyDescent="0.35">
      <c r="A225" s="1" t="s">
        <v>32</v>
      </c>
      <c r="B225" s="8" t="s">
        <v>14</v>
      </c>
      <c r="C225" s="13">
        <f t="shared" si="7"/>
        <v>45688</v>
      </c>
      <c r="D225" s="10">
        <v>35.075000000000003</v>
      </c>
    </row>
    <row r="226" spans="1:4" x14ac:dyDescent="0.35">
      <c r="A226" s="1" t="s">
        <v>32</v>
      </c>
      <c r="B226" s="8" t="s">
        <v>14</v>
      </c>
      <c r="C226" s="13">
        <f t="shared" si="7"/>
        <v>45657</v>
      </c>
      <c r="D226" s="10">
        <v>33.816000000000003</v>
      </c>
    </row>
    <row r="227" spans="1:4" x14ac:dyDescent="0.35">
      <c r="A227" s="1" t="s">
        <v>32</v>
      </c>
      <c r="B227" s="8" t="s">
        <v>14</v>
      </c>
      <c r="C227" s="13">
        <f t="shared" si="7"/>
        <v>45626</v>
      </c>
      <c r="D227" s="10">
        <v>34.966000000000001</v>
      </c>
    </row>
    <row r="228" spans="1:4" x14ac:dyDescent="0.35">
      <c r="A228" s="1" t="s">
        <v>32</v>
      </c>
      <c r="B228" s="8" t="s">
        <v>14</v>
      </c>
      <c r="C228" s="13">
        <f t="shared" si="7"/>
        <v>45596</v>
      </c>
      <c r="D228" s="10">
        <v>32.347000000000001</v>
      </c>
    </row>
    <row r="229" spans="1:4" x14ac:dyDescent="0.35">
      <c r="A229" s="1" t="s">
        <v>32</v>
      </c>
      <c r="B229" s="8" t="s">
        <v>14</v>
      </c>
      <c r="C229" s="13">
        <f t="shared" si="7"/>
        <v>45565</v>
      </c>
      <c r="D229" s="10">
        <v>33.081000000000003</v>
      </c>
    </row>
    <row r="230" spans="1:4" x14ac:dyDescent="0.35">
      <c r="A230" s="1" t="s">
        <v>32</v>
      </c>
      <c r="B230" s="8" t="s">
        <v>14</v>
      </c>
      <c r="C230" s="13">
        <f t="shared" si="7"/>
        <v>45535</v>
      </c>
      <c r="D230" s="10">
        <v>33.045999999999999</v>
      </c>
    </row>
    <row r="231" spans="1:4" x14ac:dyDescent="0.35">
      <c r="A231" s="1" t="s">
        <v>32</v>
      </c>
      <c r="B231" s="8" t="s">
        <v>14</v>
      </c>
      <c r="C231" s="13">
        <f t="shared" si="7"/>
        <v>45504</v>
      </c>
      <c r="D231" s="10">
        <v>32.9</v>
      </c>
    </row>
    <row r="232" spans="1:4" x14ac:dyDescent="0.35">
      <c r="A232" s="1" t="s">
        <v>32</v>
      </c>
      <c r="B232" s="8" t="s">
        <v>14</v>
      </c>
      <c r="C232" s="13">
        <f t="shared" si="7"/>
        <v>45473</v>
      </c>
      <c r="D232" s="10">
        <v>32.874000000000002</v>
      </c>
    </row>
    <row r="233" spans="1:4" x14ac:dyDescent="0.35">
      <c r="A233" s="1" t="s">
        <v>32</v>
      </c>
      <c r="B233" s="8" t="s">
        <v>14</v>
      </c>
      <c r="C233" s="13">
        <f t="shared" si="7"/>
        <v>45443</v>
      </c>
      <c r="D233" s="10">
        <v>32.549999999999997</v>
      </c>
    </row>
    <row r="234" spans="1:4" x14ac:dyDescent="0.35">
      <c r="A234" s="1" t="s">
        <v>32</v>
      </c>
      <c r="B234" s="8" t="s">
        <v>14</v>
      </c>
      <c r="C234" s="13">
        <f t="shared" si="7"/>
        <v>45412</v>
      </c>
      <c r="D234" s="10">
        <v>31.893999999999998</v>
      </c>
    </row>
    <row r="235" spans="1:4" x14ac:dyDescent="0.35">
      <c r="A235" s="1" t="s">
        <v>32</v>
      </c>
      <c r="B235" s="8" t="s">
        <v>14</v>
      </c>
      <c r="C235" s="13">
        <f t="shared" si="7"/>
        <v>45382</v>
      </c>
      <c r="D235" s="10">
        <v>32.835999999999999</v>
      </c>
    </row>
    <row r="236" spans="1:4" s="6" customFormat="1" x14ac:dyDescent="0.35">
      <c r="A236" s="16" t="s">
        <v>33</v>
      </c>
      <c r="B236" s="15" t="s">
        <v>15</v>
      </c>
      <c r="C236" s="18">
        <v>46053</v>
      </c>
      <c r="D236" s="17">
        <v>210.916</v>
      </c>
    </row>
    <row r="237" spans="1:4" x14ac:dyDescent="0.35">
      <c r="A237" s="1" t="s">
        <v>33</v>
      </c>
      <c r="B237" s="8" t="s">
        <v>15</v>
      </c>
      <c r="C237" s="2">
        <v>46022</v>
      </c>
      <c r="D237" s="10">
        <v>209.27500000000001</v>
      </c>
    </row>
    <row r="238" spans="1:4" x14ac:dyDescent="0.35">
      <c r="A238" s="1" t="s">
        <v>33</v>
      </c>
      <c r="B238" s="8" t="s">
        <v>15</v>
      </c>
      <c r="C238" s="2">
        <v>45991</v>
      </c>
      <c r="D238" s="10">
        <v>208.947</v>
      </c>
    </row>
    <row r="239" spans="1:4" x14ac:dyDescent="0.35">
      <c r="A239" s="1" t="s">
        <v>33</v>
      </c>
      <c r="B239" s="8" t="s">
        <v>15</v>
      </c>
      <c r="C239" s="2">
        <v>45961</v>
      </c>
      <c r="D239" s="10">
        <v>209.13499999999999</v>
      </c>
    </row>
    <row r="240" spans="1:4" x14ac:dyDescent="0.35">
      <c r="A240" s="1" t="s">
        <v>33</v>
      </c>
      <c r="B240" s="8" t="s">
        <v>15</v>
      </c>
      <c r="C240" s="2">
        <v>45930</v>
      </c>
      <c r="D240" s="10">
        <v>208.471</v>
      </c>
    </row>
    <row r="241" spans="1:4" x14ac:dyDescent="0.35">
      <c r="A241" s="1" t="s">
        <v>33</v>
      </c>
      <c r="B241" s="8" t="s">
        <v>15</v>
      </c>
      <c r="C241" s="2">
        <v>45900</v>
      </c>
      <c r="D241" s="10">
        <v>207.316</v>
      </c>
    </row>
    <row r="242" spans="1:4" x14ac:dyDescent="0.35">
      <c r="A242" s="1" t="s">
        <v>33</v>
      </c>
      <c r="B242" s="8" t="s">
        <v>15</v>
      </c>
      <c r="C242" s="2">
        <v>45869</v>
      </c>
      <c r="D242" s="10">
        <v>206.61</v>
      </c>
    </row>
    <row r="243" spans="1:4" x14ac:dyDescent="0.35">
      <c r="A243" s="1" t="s">
        <v>33</v>
      </c>
      <c r="B243" s="8" t="s">
        <v>15</v>
      </c>
      <c r="C243" s="2">
        <v>45838</v>
      </c>
      <c r="D243" s="10">
        <v>204.71899999999999</v>
      </c>
    </row>
    <row r="244" spans="1:4" x14ac:dyDescent="0.35">
      <c r="A244" s="1" t="s">
        <v>33</v>
      </c>
      <c r="B244" s="8" t="s">
        <v>15</v>
      </c>
      <c r="C244" s="2">
        <v>45808</v>
      </c>
      <c r="D244" s="10">
        <v>203.244</v>
      </c>
    </row>
    <row r="245" spans="1:4" x14ac:dyDescent="0.35">
      <c r="A245" s="1" t="s">
        <v>33</v>
      </c>
      <c r="B245" s="8" t="s">
        <v>15</v>
      </c>
      <c r="C245" s="2">
        <v>45777</v>
      </c>
      <c r="D245" s="10">
        <v>201.322</v>
      </c>
    </row>
    <row r="246" spans="1:4" x14ac:dyDescent="0.35">
      <c r="A246" s="1" t="s">
        <v>33</v>
      </c>
      <c r="B246" s="8" t="s">
        <v>15</v>
      </c>
      <c r="C246" s="2">
        <v>45747</v>
      </c>
      <c r="D246" s="10">
        <v>201.167</v>
      </c>
    </row>
    <row r="247" spans="1:4" x14ac:dyDescent="0.35">
      <c r="A247" s="1" t="s">
        <v>33</v>
      </c>
      <c r="B247" s="8" t="s">
        <v>15</v>
      </c>
      <c r="C247" s="2">
        <v>45716</v>
      </c>
      <c r="D247" s="10">
        <v>202.60499999999999</v>
      </c>
    </row>
    <row r="248" spans="1:4" x14ac:dyDescent="0.35">
      <c r="A248" s="1" t="s">
        <v>33</v>
      </c>
      <c r="B248" s="8" t="s">
        <v>15</v>
      </c>
      <c r="C248" s="2">
        <v>45688</v>
      </c>
      <c r="D248" s="10">
        <v>201.36099999999999</v>
      </c>
    </row>
    <row r="249" spans="1:4" x14ac:dyDescent="0.35">
      <c r="A249" s="1" t="s">
        <v>33</v>
      </c>
      <c r="B249" s="8" t="s">
        <v>15</v>
      </c>
      <c r="C249" s="2">
        <v>45657</v>
      </c>
      <c r="D249" s="10">
        <v>200.054</v>
      </c>
    </row>
    <row r="250" spans="1:4" x14ac:dyDescent="0.35">
      <c r="A250" s="1" t="s">
        <v>33</v>
      </c>
      <c r="B250" s="8" t="s">
        <v>15</v>
      </c>
      <c r="C250" s="2">
        <v>45626</v>
      </c>
      <c r="D250" s="10">
        <v>198.53399999999999</v>
      </c>
    </row>
    <row r="251" spans="1:4" x14ac:dyDescent="0.35">
      <c r="A251" s="1" t="s">
        <v>33</v>
      </c>
      <c r="B251" s="8" t="s">
        <v>15</v>
      </c>
      <c r="C251" s="2">
        <v>45596</v>
      </c>
      <c r="D251" s="10">
        <v>196.495</v>
      </c>
    </row>
    <row r="252" spans="1:4" x14ac:dyDescent="0.35">
      <c r="A252" s="1" t="s">
        <v>33</v>
      </c>
      <c r="B252" s="8" t="s">
        <v>15</v>
      </c>
      <c r="C252" s="2">
        <v>45565</v>
      </c>
      <c r="D252" s="10">
        <v>195.28700000000001</v>
      </c>
    </row>
    <row r="253" spans="1:4" x14ac:dyDescent="0.35">
      <c r="A253" s="1" t="s">
        <v>33</v>
      </c>
      <c r="B253" s="8" t="s">
        <v>15</v>
      </c>
      <c r="C253" s="2">
        <v>45535</v>
      </c>
      <c r="D253" s="10">
        <v>193.14699999999999</v>
      </c>
    </row>
    <row r="254" spans="1:4" x14ac:dyDescent="0.35">
      <c r="A254" s="1" t="s">
        <v>33</v>
      </c>
      <c r="B254" s="8" t="s">
        <v>15</v>
      </c>
      <c r="C254" s="2">
        <v>45504</v>
      </c>
      <c r="D254" s="10">
        <v>192.048</v>
      </c>
    </row>
    <row r="255" spans="1:4" x14ac:dyDescent="0.35">
      <c r="A255" s="1" t="s">
        <v>33</v>
      </c>
      <c r="B255" s="8" t="s">
        <v>15</v>
      </c>
      <c r="C255" s="2">
        <v>45473</v>
      </c>
      <c r="D255" s="10">
        <v>189.1</v>
      </c>
    </row>
    <row r="256" spans="1:4" x14ac:dyDescent="0.35">
      <c r="A256" s="1" t="s">
        <v>33</v>
      </c>
      <c r="B256" s="8" t="s">
        <v>15</v>
      </c>
      <c r="C256" s="2">
        <v>45443</v>
      </c>
      <c r="D256" s="10">
        <v>188.49700000000001</v>
      </c>
    </row>
    <row r="257" spans="1:4" x14ac:dyDescent="0.35">
      <c r="A257" s="1" t="s">
        <v>33</v>
      </c>
      <c r="B257" s="8" t="s">
        <v>15</v>
      </c>
      <c r="C257" s="2">
        <v>45412</v>
      </c>
      <c r="D257" s="10">
        <v>186.006</v>
      </c>
    </row>
    <row r="258" spans="1:4" x14ac:dyDescent="0.35">
      <c r="A258" s="1" t="s">
        <v>33</v>
      </c>
      <c r="B258" s="8" t="s">
        <v>15</v>
      </c>
      <c r="C258" s="2">
        <v>45382</v>
      </c>
      <c r="D258" s="10">
        <v>185.995</v>
      </c>
    </row>
    <row r="259" spans="1:4" s="6" customFormat="1" x14ac:dyDescent="0.35">
      <c r="A259" s="16" t="s">
        <v>34</v>
      </c>
      <c r="B259" s="15" t="s">
        <v>16</v>
      </c>
      <c r="C259" s="18">
        <v>46053</v>
      </c>
      <c r="D259" s="17">
        <v>80.97</v>
      </c>
    </row>
    <row r="260" spans="1:4" x14ac:dyDescent="0.35">
      <c r="A260" s="1" t="s">
        <v>34</v>
      </c>
      <c r="B260" s="8" t="s">
        <v>16</v>
      </c>
      <c r="C260" s="2">
        <v>46022</v>
      </c>
      <c r="D260" s="10">
        <v>79.534999999999997</v>
      </c>
    </row>
    <row r="261" spans="1:4" x14ac:dyDescent="0.35">
      <c r="A261" s="1" t="s">
        <v>34</v>
      </c>
      <c r="B261" s="8" t="s">
        <v>16</v>
      </c>
      <c r="C261" s="2">
        <v>45991</v>
      </c>
      <c r="D261" s="10">
        <v>80.942999999999998</v>
      </c>
    </row>
    <row r="262" spans="1:4" x14ac:dyDescent="0.35">
      <c r="A262" s="1" t="s">
        <v>34</v>
      </c>
      <c r="B262" s="8" t="s">
        <v>16</v>
      </c>
      <c r="C262" s="2">
        <v>45961</v>
      </c>
      <c r="D262" s="10">
        <v>81.263999999999996</v>
      </c>
    </row>
    <row r="263" spans="1:4" x14ac:dyDescent="0.35">
      <c r="A263" s="1" t="s">
        <v>34</v>
      </c>
      <c r="B263" s="8" t="s">
        <v>16</v>
      </c>
      <c r="C263" s="2">
        <v>45930</v>
      </c>
      <c r="D263" s="10">
        <v>77.891000000000005</v>
      </c>
    </row>
    <row r="264" spans="1:4" x14ac:dyDescent="0.35">
      <c r="A264" s="1" t="s">
        <v>34</v>
      </c>
      <c r="B264" s="8" t="s">
        <v>16</v>
      </c>
      <c r="C264" s="2">
        <v>45900</v>
      </c>
      <c r="D264" s="10">
        <v>74.888000000000005</v>
      </c>
    </row>
    <row r="265" spans="1:4" x14ac:dyDescent="0.35">
      <c r="A265" s="1" t="s">
        <v>34</v>
      </c>
      <c r="B265" s="8" t="s">
        <v>16</v>
      </c>
      <c r="C265" s="2">
        <v>45869</v>
      </c>
      <c r="D265" s="10">
        <v>75.534000000000006</v>
      </c>
    </row>
    <row r="266" spans="1:4" x14ac:dyDescent="0.35">
      <c r="A266" s="1" t="s">
        <v>34</v>
      </c>
      <c r="B266" s="8" t="s">
        <v>16</v>
      </c>
      <c r="C266" s="2">
        <v>45838</v>
      </c>
      <c r="D266" s="10">
        <v>75.308999999999997</v>
      </c>
    </row>
    <row r="267" spans="1:4" x14ac:dyDescent="0.35">
      <c r="A267" s="1" t="s">
        <v>34</v>
      </c>
      <c r="B267" s="8" t="s">
        <v>16</v>
      </c>
      <c r="C267" s="2">
        <v>45808</v>
      </c>
      <c r="D267" s="10">
        <v>74.454999999999998</v>
      </c>
    </row>
    <row r="268" spans="1:4" x14ac:dyDescent="0.35">
      <c r="A268" s="1" t="s">
        <v>34</v>
      </c>
      <c r="B268" s="8" t="s">
        <v>16</v>
      </c>
      <c r="C268" s="2">
        <v>45777</v>
      </c>
      <c r="D268" s="10">
        <v>72.510000000000005</v>
      </c>
    </row>
    <row r="269" spans="1:4" x14ac:dyDescent="0.35">
      <c r="A269" s="1" t="s">
        <v>34</v>
      </c>
      <c r="B269" s="8" t="s">
        <v>16</v>
      </c>
      <c r="C269" s="2">
        <v>45747</v>
      </c>
      <c r="D269" s="10">
        <v>75.701999999999998</v>
      </c>
    </row>
    <row r="270" spans="1:4" x14ac:dyDescent="0.35">
      <c r="A270" s="1" t="s">
        <v>34</v>
      </c>
      <c r="B270" s="8" t="s">
        <v>16</v>
      </c>
      <c r="C270" s="2">
        <v>45716</v>
      </c>
      <c r="D270" s="10">
        <v>80.581000000000003</v>
      </c>
    </row>
    <row r="271" spans="1:4" x14ac:dyDescent="0.35">
      <c r="A271" s="1" t="s">
        <v>34</v>
      </c>
      <c r="B271" s="8" t="s">
        <v>16</v>
      </c>
      <c r="C271" s="2">
        <v>45688</v>
      </c>
      <c r="D271" s="10">
        <v>78.296000000000006</v>
      </c>
    </row>
    <row r="272" spans="1:4" x14ac:dyDescent="0.35">
      <c r="A272" s="1" t="s">
        <v>34</v>
      </c>
      <c r="B272" s="8" t="s">
        <v>16</v>
      </c>
      <c r="C272" s="2">
        <v>45657</v>
      </c>
      <c r="D272" s="10">
        <v>78.381</v>
      </c>
    </row>
    <row r="273" spans="1:4" x14ac:dyDescent="0.35">
      <c r="A273" s="1" t="s">
        <v>34</v>
      </c>
      <c r="B273" s="8" t="s">
        <v>16</v>
      </c>
      <c r="C273" s="2">
        <v>45626</v>
      </c>
      <c r="D273" s="10">
        <v>80.619</v>
      </c>
    </row>
    <row r="274" spans="1:4" x14ac:dyDescent="0.35">
      <c r="A274" s="1" t="s">
        <v>34</v>
      </c>
      <c r="B274" s="8" t="s">
        <v>16</v>
      </c>
      <c r="C274" s="2">
        <v>45596</v>
      </c>
      <c r="D274" s="10">
        <v>77.882000000000005</v>
      </c>
    </row>
    <row r="275" spans="1:4" x14ac:dyDescent="0.35">
      <c r="A275" s="1" t="s">
        <v>34</v>
      </c>
      <c r="B275" s="8" t="s">
        <v>16</v>
      </c>
      <c r="C275" s="2">
        <v>45565</v>
      </c>
      <c r="D275" s="10">
        <v>81.161000000000001</v>
      </c>
    </row>
    <row r="276" spans="1:4" x14ac:dyDescent="0.35">
      <c r="A276" s="1" t="s">
        <v>34</v>
      </c>
      <c r="B276" s="8" t="s">
        <v>16</v>
      </c>
      <c r="C276" s="2">
        <v>45535</v>
      </c>
      <c r="D276" s="10">
        <v>79.840999999999994</v>
      </c>
    </row>
    <row r="277" spans="1:4" x14ac:dyDescent="0.35">
      <c r="A277" s="1" t="s">
        <v>34</v>
      </c>
      <c r="B277" s="8" t="s">
        <v>16</v>
      </c>
      <c r="C277" s="2">
        <v>45504</v>
      </c>
      <c r="D277" s="10">
        <v>76.789000000000001</v>
      </c>
    </row>
    <row r="278" spans="1:4" x14ac:dyDescent="0.35">
      <c r="A278" s="1" t="s">
        <v>34</v>
      </c>
      <c r="B278" s="8" t="s">
        <v>16</v>
      </c>
      <c r="C278" s="2">
        <v>45473</v>
      </c>
      <c r="D278" s="10">
        <v>76.600999999999999</v>
      </c>
    </row>
    <row r="279" spans="1:4" x14ac:dyDescent="0.35">
      <c r="A279" s="1" t="s">
        <v>34</v>
      </c>
      <c r="B279" s="8" t="s">
        <v>16</v>
      </c>
      <c r="C279" s="2">
        <v>45443</v>
      </c>
      <c r="D279" s="10">
        <v>76.486999999999995</v>
      </c>
    </row>
    <row r="280" spans="1:4" x14ac:dyDescent="0.35">
      <c r="A280" s="1" t="s">
        <v>34</v>
      </c>
      <c r="B280" s="8" t="s">
        <v>16</v>
      </c>
      <c r="C280" s="2">
        <v>45412</v>
      </c>
      <c r="D280" s="10">
        <v>80.299000000000007</v>
      </c>
    </row>
    <row r="281" spans="1:4" x14ac:dyDescent="0.35">
      <c r="A281" s="1" t="s">
        <v>34</v>
      </c>
      <c r="B281" s="8" t="s">
        <v>16</v>
      </c>
      <c r="C281" s="2">
        <v>45382</v>
      </c>
      <c r="D281" s="10">
        <v>84.463999999999999</v>
      </c>
    </row>
    <row r="282" spans="1:4" s="6" customFormat="1" x14ac:dyDescent="0.35">
      <c r="A282" s="16" t="s">
        <v>35</v>
      </c>
      <c r="B282" s="15" t="s">
        <v>17</v>
      </c>
      <c r="C282" s="18">
        <v>46053</v>
      </c>
      <c r="D282" s="17">
        <v>26.829000000000001</v>
      </c>
    </row>
    <row r="283" spans="1:4" x14ac:dyDescent="0.35">
      <c r="A283" s="1" t="s">
        <v>35</v>
      </c>
      <c r="B283" s="8" t="s">
        <v>17</v>
      </c>
      <c r="C283" s="2">
        <v>46022</v>
      </c>
      <c r="D283" s="10">
        <v>25.108000000000001</v>
      </c>
    </row>
    <row r="284" spans="1:4" x14ac:dyDescent="0.35">
      <c r="A284" s="1" t="s">
        <v>35</v>
      </c>
      <c r="B284" s="8" t="s">
        <v>17</v>
      </c>
      <c r="C284" s="2">
        <v>45991</v>
      </c>
      <c r="D284" s="10">
        <v>24.638000000000002</v>
      </c>
    </row>
    <row r="285" spans="1:4" x14ac:dyDescent="0.35">
      <c r="A285" s="1" t="s">
        <v>35</v>
      </c>
      <c r="B285" s="8" t="s">
        <v>17</v>
      </c>
      <c r="C285" s="2">
        <v>45961</v>
      </c>
      <c r="D285" s="10">
        <v>25.305</v>
      </c>
    </row>
    <row r="286" spans="1:4" x14ac:dyDescent="0.35">
      <c r="A286" s="1" t="s">
        <v>35</v>
      </c>
      <c r="B286" s="8" t="s">
        <v>17</v>
      </c>
      <c r="C286" s="2">
        <v>45930</v>
      </c>
      <c r="D286" s="10">
        <v>23.975999999999999</v>
      </c>
    </row>
    <row r="287" spans="1:4" x14ac:dyDescent="0.35">
      <c r="A287" s="1" t="s">
        <v>35</v>
      </c>
      <c r="B287" s="8" t="s">
        <v>17</v>
      </c>
      <c r="C287" s="2">
        <v>45900</v>
      </c>
      <c r="D287" s="10">
        <v>22.268000000000001</v>
      </c>
    </row>
    <row r="288" spans="1:4" x14ac:dyDescent="0.35">
      <c r="A288" s="1" t="s">
        <v>35</v>
      </c>
      <c r="B288" s="8" t="s">
        <v>17</v>
      </c>
      <c r="C288" s="2">
        <v>45869</v>
      </c>
      <c r="D288" s="10">
        <v>22.077000000000002</v>
      </c>
    </row>
    <row r="289" spans="1:4" x14ac:dyDescent="0.35">
      <c r="A289" s="1" t="s">
        <v>35</v>
      </c>
      <c r="B289" s="8" t="s">
        <v>17</v>
      </c>
      <c r="C289" s="2">
        <v>45838</v>
      </c>
      <c r="D289" s="10">
        <v>20.695</v>
      </c>
    </row>
    <row r="290" spans="1:4" x14ac:dyDescent="0.35">
      <c r="A290" s="1" t="s">
        <v>35</v>
      </c>
      <c r="B290" s="8" t="s">
        <v>17</v>
      </c>
      <c r="C290" s="2">
        <v>45808</v>
      </c>
      <c r="D290" s="10">
        <v>20.283999999999999</v>
      </c>
    </row>
    <row r="291" spans="1:4" x14ac:dyDescent="0.35">
      <c r="A291" s="1" t="s">
        <v>35</v>
      </c>
      <c r="B291" s="8" t="s">
        <v>17</v>
      </c>
      <c r="C291" s="2">
        <v>45777</v>
      </c>
      <c r="D291" s="10">
        <v>19.260000000000002</v>
      </c>
    </row>
    <row r="292" spans="1:4" x14ac:dyDescent="0.35">
      <c r="A292" s="1" t="s">
        <v>35</v>
      </c>
      <c r="B292" s="8" t="s">
        <v>17</v>
      </c>
      <c r="C292" s="2">
        <v>45747</v>
      </c>
      <c r="D292" s="10">
        <v>20.638999999999999</v>
      </c>
    </row>
    <row r="293" spans="1:4" x14ac:dyDescent="0.35">
      <c r="A293" s="1" t="s">
        <v>35</v>
      </c>
      <c r="B293" s="8" t="s">
        <v>17</v>
      </c>
      <c r="C293" s="2">
        <v>45716</v>
      </c>
      <c r="D293" s="10">
        <v>21.536000000000001</v>
      </c>
    </row>
    <row r="294" spans="1:4" x14ac:dyDescent="0.35">
      <c r="A294" s="1" t="s">
        <v>35</v>
      </c>
      <c r="B294" s="8" t="s">
        <v>17</v>
      </c>
      <c r="C294" s="2">
        <v>45688</v>
      </c>
      <c r="D294" s="10">
        <v>21.155999999999999</v>
      </c>
    </row>
    <row r="295" spans="1:4" x14ac:dyDescent="0.35">
      <c r="A295" s="1" t="s">
        <v>35</v>
      </c>
      <c r="B295" s="8" t="s">
        <v>17</v>
      </c>
      <c r="C295" s="2">
        <v>45657</v>
      </c>
      <c r="D295" s="10">
        <v>21.518999999999998</v>
      </c>
    </row>
    <row r="296" spans="1:4" x14ac:dyDescent="0.35">
      <c r="A296" s="1" t="s">
        <v>35</v>
      </c>
      <c r="B296" s="8" t="s">
        <v>17</v>
      </c>
      <c r="C296" s="2">
        <v>45626</v>
      </c>
      <c r="D296" s="10">
        <v>21.09</v>
      </c>
    </row>
    <row r="297" spans="1:4" x14ac:dyDescent="0.35">
      <c r="A297" s="1" t="s">
        <v>35</v>
      </c>
      <c r="B297" s="8" t="s">
        <v>17</v>
      </c>
      <c r="C297" s="2">
        <v>45596</v>
      </c>
      <c r="D297" s="10">
        <v>21.094000000000001</v>
      </c>
    </row>
    <row r="298" spans="1:4" x14ac:dyDescent="0.35">
      <c r="A298" s="1" t="s">
        <v>35</v>
      </c>
      <c r="B298" s="8" t="s">
        <v>17</v>
      </c>
      <c r="C298" s="2">
        <v>45565</v>
      </c>
      <c r="D298" s="10">
        <v>21.559000000000001</v>
      </c>
    </row>
    <row r="299" spans="1:4" x14ac:dyDescent="0.35">
      <c r="A299" s="1" t="s">
        <v>35</v>
      </c>
      <c r="B299" s="8" t="s">
        <v>17</v>
      </c>
      <c r="C299" s="2">
        <v>45535</v>
      </c>
      <c r="D299" s="10">
        <v>20.131</v>
      </c>
    </row>
    <row r="300" spans="1:4" x14ac:dyDescent="0.35">
      <c r="A300" s="1" t="s">
        <v>35</v>
      </c>
      <c r="B300" s="8" t="s">
        <v>17</v>
      </c>
      <c r="C300" s="2">
        <v>45504</v>
      </c>
      <c r="D300" s="10">
        <v>20.224</v>
      </c>
    </row>
    <row r="301" spans="1:4" x14ac:dyDescent="0.35">
      <c r="A301" s="1" t="s">
        <v>35</v>
      </c>
      <c r="B301" s="8" t="s">
        <v>17</v>
      </c>
      <c r="C301" s="2">
        <v>45473</v>
      </c>
      <c r="D301" s="10">
        <v>20.669</v>
      </c>
    </row>
    <row r="302" spans="1:4" x14ac:dyDescent="0.35">
      <c r="A302" s="1" t="s">
        <v>35</v>
      </c>
      <c r="B302" s="8" t="s">
        <v>17</v>
      </c>
      <c r="C302" s="2">
        <v>45443</v>
      </c>
      <c r="D302" s="10">
        <v>19.733000000000001</v>
      </c>
    </row>
    <row r="303" spans="1:4" x14ac:dyDescent="0.35">
      <c r="A303" s="1" t="s">
        <v>35</v>
      </c>
      <c r="B303" s="8" t="s">
        <v>17</v>
      </c>
      <c r="C303" s="2">
        <v>45412</v>
      </c>
      <c r="D303" s="10">
        <v>19.837</v>
      </c>
    </row>
    <row r="304" spans="1:4" x14ac:dyDescent="0.35">
      <c r="A304" s="1" t="s">
        <v>35</v>
      </c>
      <c r="B304" s="8" t="s">
        <v>17</v>
      </c>
      <c r="C304" s="2">
        <v>45382</v>
      </c>
      <c r="D304" s="10">
        <v>19.509</v>
      </c>
    </row>
    <row r="305" spans="1:4" s="6" customFormat="1" x14ac:dyDescent="0.35">
      <c r="A305" s="4" t="s">
        <v>36</v>
      </c>
      <c r="B305" s="4" t="s">
        <v>18</v>
      </c>
      <c r="C305" s="5">
        <v>46023</v>
      </c>
      <c r="D305" s="9">
        <v>98.02</v>
      </c>
    </row>
    <row r="306" spans="1:4" x14ac:dyDescent="0.35">
      <c r="A306" s="1" t="s">
        <v>36</v>
      </c>
      <c r="B306" s="8" t="s">
        <v>18</v>
      </c>
      <c r="C306" s="2">
        <f>EOMONTH(C305,-2)+1</f>
        <v>45992</v>
      </c>
      <c r="D306" s="10">
        <v>100.9</v>
      </c>
    </row>
    <row r="307" spans="1:4" x14ac:dyDescent="0.35">
      <c r="A307" s="1" t="s">
        <v>36</v>
      </c>
      <c r="B307" s="8" t="s">
        <v>18</v>
      </c>
      <c r="C307" s="2">
        <f t="shared" ref="C307:C327" si="8">EOMONTH(C306,-2)+1</f>
        <v>45962</v>
      </c>
      <c r="D307" s="10">
        <v>100.94</v>
      </c>
    </row>
    <row r="308" spans="1:4" x14ac:dyDescent="0.35">
      <c r="A308" s="1" t="s">
        <v>36</v>
      </c>
      <c r="B308" s="8" t="s">
        <v>18</v>
      </c>
      <c r="C308" s="2">
        <f t="shared" si="8"/>
        <v>45931</v>
      </c>
      <c r="D308" s="10">
        <v>106.89</v>
      </c>
    </row>
    <row r="309" spans="1:4" x14ac:dyDescent="0.35">
      <c r="A309" s="1" t="s">
        <v>36</v>
      </c>
      <c r="B309" s="8" t="s">
        <v>18</v>
      </c>
      <c r="C309" s="2">
        <f t="shared" si="8"/>
        <v>45901</v>
      </c>
      <c r="D309" s="10">
        <v>98.3</v>
      </c>
    </row>
    <row r="310" spans="1:4" x14ac:dyDescent="0.35">
      <c r="A310" s="1" t="s">
        <v>36</v>
      </c>
      <c r="B310" s="8" t="s">
        <v>18</v>
      </c>
      <c r="C310" s="2">
        <f t="shared" si="8"/>
        <v>45870</v>
      </c>
      <c r="D310" s="10">
        <v>92.04</v>
      </c>
    </row>
    <row r="311" spans="1:4" x14ac:dyDescent="0.35">
      <c r="A311" s="1" t="s">
        <v>36</v>
      </c>
      <c r="B311" s="8" t="s">
        <v>18</v>
      </c>
      <c r="C311" s="2">
        <f t="shared" si="8"/>
        <v>45839</v>
      </c>
      <c r="D311" s="10">
        <v>94.51</v>
      </c>
    </row>
    <row r="312" spans="1:4" x14ac:dyDescent="0.35">
      <c r="A312" s="1" t="s">
        <v>36</v>
      </c>
      <c r="B312" s="8" t="s">
        <v>18</v>
      </c>
      <c r="C312" s="2">
        <f t="shared" si="8"/>
        <v>45809</v>
      </c>
      <c r="D312" s="10">
        <v>87.37</v>
      </c>
    </row>
    <row r="313" spans="1:4" x14ac:dyDescent="0.35">
      <c r="A313" s="1" t="s">
        <v>36</v>
      </c>
      <c r="B313" s="8" t="s">
        <v>18</v>
      </c>
      <c r="C313" s="2">
        <f t="shared" si="8"/>
        <v>45778</v>
      </c>
      <c r="D313" s="10">
        <v>83.05</v>
      </c>
    </row>
    <row r="314" spans="1:4" x14ac:dyDescent="0.35">
      <c r="A314" s="1" t="s">
        <v>36</v>
      </c>
      <c r="B314" s="8" t="s">
        <v>18</v>
      </c>
      <c r="C314" s="2">
        <f t="shared" si="8"/>
        <v>45748</v>
      </c>
      <c r="D314" s="10">
        <v>74.42</v>
      </c>
    </row>
    <row r="315" spans="1:4" x14ac:dyDescent="0.35">
      <c r="A315" s="1" t="s">
        <v>36</v>
      </c>
      <c r="B315" s="8" t="s">
        <v>18</v>
      </c>
      <c r="C315" s="2">
        <f t="shared" si="8"/>
        <v>45717</v>
      </c>
      <c r="D315" s="10">
        <v>76.2</v>
      </c>
    </row>
    <row r="316" spans="1:4" x14ac:dyDescent="0.35">
      <c r="A316" s="1" t="s">
        <v>36</v>
      </c>
      <c r="B316" s="8" t="s">
        <v>18</v>
      </c>
      <c r="C316" s="2">
        <f t="shared" si="8"/>
        <v>45689</v>
      </c>
      <c r="D316" s="10">
        <v>87.14</v>
      </c>
    </row>
    <row r="317" spans="1:4" x14ac:dyDescent="0.35">
      <c r="A317" s="1" t="s">
        <v>36</v>
      </c>
      <c r="B317" s="8" t="s">
        <v>18</v>
      </c>
      <c r="C317" s="2">
        <f t="shared" si="8"/>
        <v>45658</v>
      </c>
      <c r="D317" s="10">
        <v>91.85</v>
      </c>
    </row>
    <row r="318" spans="1:4" x14ac:dyDescent="0.35">
      <c r="A318" s="1" t="s">
        <v>36</v>
      </c>
      <c r="B318" s="8" t="s">
        <v>18</v>
      </c>
      <c r="C318" s="2">
        <f t="shared" si="8"/>
        <v>45627</v>
      </c>
      <c r="D318" s="10">
        <v>92.45</v>
      </c>
    </row>
    <row r="319" spans="1:4" x14ac:dyDescent="0.35">
      <c r="A319" s="1" t="s">
        <v>36</v>
      </c>
      <c r="B319" s="8" t="s">
        <v>18</v>
      </c>
      <c r="C319" s="2">
        <f t="shared" si="8"/>
        <v>45597</v>
      </c>
      <c r="D319" s="10">
        <v>89.62</v>
      </c>
    </row>
    <row r="320" spans="1:4" x14ac:dyDescent="0.35">
      <c r="A320" s="1" t="s">
        <v>36</v>
      </c>
      <c r="B320" s="8" t="s">
        <v>18</v>
      </c>
      <c r="C320" s="2">
        <f t="shared" si="8"/>
        <v>45566</v>
      </c>
      <c r="D320" s="10">
        <v>83.04</v>
      </c>
    </row>
    <row r="321" spans="1:4" x14ac:dyDescent="0.35">
      <c r="A321" s="1" t="s">
        <v>36</v>
      </c>
      <c r="B321" s="8" t="s">
        <v>18</v>
      </c>
      <c r="C321" s="2">
        <f t="shared" si="8"/>
        <v>45536</v>
      </c>
      <c r="D321" s="10">
        <v>81.290000000000006</v>
      </c>
    </row>
    <row r="322" spans="1:4" x14ac:dyDescent="0.35">
      <c r="A322" s="1" t="s">
        <v>36</v>
      </c>
      <c r="B322" s="8" t="s">
        <v>18</v>
      </c>
      <c r="C322" s="2">
        <f t="shared" si="8"/>
        <v>45505</v>
      </c>
      <c r="D322" s="10">
        <v>79.95</v>
      </c>
    </row>
    <row r="323" spans="1:4" x14ac:dyDescent="0.35">
      <c r="A323" s="1" t="s">
        <v>36</v>
      </c>
      <c r="B323" s="8" t="s">
        <v>18</v>
      </c>
      <c r="C323" s="2">
        <f t="shared" si="8"/>
        <v>45474</v>
      </c>
      <c r="D323" s="10">
        <v>81</v>
      </c>
    </row>
    <row r="324" spans="1:4" x14ac:dyDescent="0.35">
      <c r="A324" s="1" t="s">
        <v>36</v>
      </c>
      <c r="B324" s="8" t="s">
        <v>18</v>
      </c>
      <c r="C324" s="2">
        <f t="shared" si="8"/>
        <v>45444</v>
      </c>
      <c r="D324" s="10">
        <v>84.67</v>
      </c>
    </row>
    <row r="325" spans="1:4" x14ac:dyDescent="0.35">
      <c r="A325" s="1" t="s">
        <v>36</v>
      </c>
      <c r="B325" s="8" t="s">
        <v>18</v>
      </c>
      <c r="C325" s="2">
        <f t="shared" si="8"/>
        <v>45413</v>
      </c>
      <c r="D325" s="10">
        <v>74.95</v>
      </c>
    </row>
    <row r="326" spans="1:4" x14ac:dyDescent="0.35">
      <c r="A326" s="1" t="s">
        <v>36</v>
      </c>
      <c r="B326" s="8" t="s">
        <v>18</v>
      </c>
      <c r="C326" s="2">
        <f t="shared" si="8"/>
        <v>45383</v>
      </c>
      <c r="D326" s="10">
        <v>72.06</v>
      </c>
    </row>
    <row r="327" spans="1:4" x14ac:dyDescent="0.35">
      <c r="A327" s="12" t="s">
        <v>36</v>
      </c>
      <c r="B327" s="11" t="s">
        <v>18</v>
      </c>
      <c r="C327" s="2">
        <f t="shared" si="8"/>
        <v>45352</v>
      </c>
      <c r="D327" s="14">
        <v>74.64</v>
      </c>
    </row>
    <row r="328" spans="1:4" s="6" customFormat="1" x14ac:dyDescent="0.35">
      <c r="A328" s="4" t="s">
        <v>37</v>
      </c>
      <c r="B328" s="4" t="s">
        <v>19</v>
      </c>
      <c r="C328" s="5">
        <v>45838</v>
      </c>
      <c r="D328" s="9">
        <v>99.99</v>
      </c>
    </row>
    <row r="329" spans="1:4" x14ac:dyDescent="0.35">
      <c r="A329" s="12" t="s">
        <v>37</v>
      </c>
      <c r="B329" s="11" t="s">
        <v>19</v>
      </c>
      <c r="C329" s="13">
        <v>45930</v>
      </c>
      <c r="D329" s="14">
        <v>100.33</v>
      </c>
    </row>
    <row r="330" spans="1:4" s="6" customFormat="1" x14ac:dyDescent="0.35">
      <c r="A330" s="16" t="s">
        <v>38</v>
      </c>
      <c r="B330" s="15" t="s">
        <v>20</v>
      </c>
      <c r="C330" s="18">
        <v>45689</v>
      </c>
      <c r="D330" s="17">
        <v>100</v>
      </c>
    </row>
    <row r="331" spans="1:4" x14ac:dyDescent="0.35">
      <c r="A331" s="12" t="s">
        <v>38</v>
      </c>
      <c r="B331" s="11" t="s">
        <v>20</v>
      </c>
      <c r="C331" s="13">
        <v>45658</v>
      </c>
      <c r="D331" s="14">
        <v>99.98</v>
      </c>
    </row>
    <row r="332" spans="1:4" x14ac:dyDescent="0.35">
      <c r="A332" s="1" t="s">
        <v>38</v>
      </c>
      <c r="B332" s="8" t="s">
        <v>20</v>
      </c>
      <c r="C332" s="2">
        <f>EOMONTH(C330,-2)+1</f>
        <v>45658</v>
      </c>
      <c r="D332" s="10">
        <v>99.82</v>
      </c>
    </row>
    <row r="333" spans="1:4" x14ac:dyDescent="0.35">
      <c r="A333" s="1" t="s">
        <v>38</v>
      </c>
      <c r="B333" s="8" t="s">
        <v>20</v>
      </c>
      <c r="C333" s="2">
        <f t="shared" ref="C333:C342" si="9">EOMONTH(C332,-2)+1</f>
        <v>45627</v>
      </c>
      <c r="D333" s="10">
        <v>99.64</v>
      </c>
    </row>
    <row r="334" spans="1:4" x14ac:dyDescent="0.35">
      <c r="A334" s="1" t="s">
        <v>38</v>
      </c>
      <c r="B334" s="8" t="s">
        <v>20</v>
      </c>
      <c r="C334" s="2">
        <f t="shared" si="9"/>
        <v>45597</v>
      </c>
      <c r="D334" s="10">
        <v>99.34</v>
      </c>
    </row>
    <row r="335" spans="1:4" x14ac:dyDescent="0.35">
      <c r="A335" s="1" t="s">
        <v>38</v>
      </c>
      <c r="B335" s="8" t="s">
        <v>20</v>
      </c>
      <c r="C335" s="2">
        <f t="shared" si="9"/>
        <v>45566</v>
      </c>
      <c r="D335" s="10">
        <v>99.12</v>
      </c>
    </row>
    <row r="336" spans="1:4" x14ac:dyDescent="0.35">
      <c r="A336" s="1" t="s">
        <v>38</v>
      </c>
      <c r="B336" s="8" t="s">
        <v>20</v>
      </c>
      <c r="C336" s="2">
        <f t="shared" si="9"/>
        <v>45536</v>
      </c>
      <c r="D336" s="10">
        <v>98.83</v>
      </c>
    </row>
    <row r="337" spans="1:4" x14ac:dyDescent="0.35">
      <c r="A337" s="1" t="s">
        <v>38</v>
      </c>
      <c r="B337" s="8" t="s">
        <v>20</v>
      </c>
      <c r="C337" s="2">
        <f t="shared" si="9"/>
        <v>45505</v>
      </c>
      <c r="D337" s="10">
        <v>98.5</v>
      </c>
    </row>
    <row r="338" spans="1:4" x14ac:dyDescent="0.35">
      <c r="A338" s="1" t="s">
        <v>38</v>
      </c>
      <c r="B338" s="8" t="s">
        <v>20</v>
      </c>
      <c r="C338" s="2">
        <f t="shared" si="9"/>
        <v>45474</v>
      </c>
      <c r="D338" s="10">
        <v>98.15</v>
      </c>
    </row>
    <row r="339" spans="1:4" x14ac:dyDescent="0.35">
      <c r="A339" s="1" t="s">
        <v>38</v>
      </c>
      <c r="B339" s="8" t="s">
        <v>20</v>
      </c>
      <c r="C339" s="2">
        <f t="shared" si="9"/>
        <v>45444</v>
      </c>
      <c r="D339" s="10">
        <v>97.95</v>
      </c>
    </row>
    <row r="340" spans="1:4" x14ac:dyDescent="0.35">
      <c r="A340" s="1" t="s">
        <v>38</v>
      </c>
      <c r="B340" s="8" t="s">
        <v>20</v>
      </c>
      <c r="C340" s="2">
        <f t="shared" si="9"/>
        <v>45413</v>
      </c>
      <c r="D340" s="10">
        <v>97.64</v>
      </c>
    </row>
    <row r="341" spans="1:4" x14ac:dyDescent="0.35">
      <c r="A341" s="1" t="s">
        <v>38</v>
      </c>
      <c r="B341" s="8" t="s">
        <v>20</v>
      </c>
      <c r="C341" s="2">
        <f t="shared" si="9"/>
        <v>45383</v>
      </c>
      <c r="D341" s="10">
        <v>97.42</v>
      </c>
    </row>
    <row r="342" spans="1:4" x14ac:dyDescent="0.35">
      <c r="A342" s="1" t="s">
        <v>38</v>
      </c>
      <c r="B342" s="8" t="s">
        <v>20</v>
      </c>
      <c r="C342" s="2">
        <f t="shared" si="9"/>
        <v>45352</v>
      </c>
      <c r="D342" s="10">
        <v>97.13</v>
      </c>
    </row>
    <row r="343" spans="1:4" s="6" customFormat="1" x14ac:dyDescent="0.35">
      <c r="A343" s="16" t="s">
        <v>39</v>
      </c>
      <c r="B343" s="15" t="s">
        <v>21</v>
      </c>
      <c r="C343" s="18">
        <v>46052</v>
      </c>
      <c r="D343" s="17">
        <v>40.47</v>
      </c>
    </row>
    <row r="344" spans="1:4" x14ac:dyDescent="0.35">
      <c r="A344" s="1" t="s">
        <v>39</v>
      </c>
      <c r="B344" s="8" t="s">
        <v>21</v>
      </c>
      <c r="C344" s="2">
        <f>+C343-1</f>
        <v>46051</v>
      </c>
      <c r="D344" s="10">
        <v>44.31</v>
      </c>
    </row>
    <row r="345" spans="1:4" x14ac:dyDescent="0.35">
      <c r="A345" s="1" t="s">
        <v>39</v>
      </c>
      <c r="B345" s="8" t="s">
        <v>21</v>
      </c>
      <c r="C345" s="2">
        <f t="shared" ref="C345:C352" si="10">+C344-1</f>
        <v>46050</v>
      </c>
      <c r="D345" s="10">
        <v>45.81</v>
      </c>
    </row>
    <row r="346" spans="1:4" x14ac:dyDescent="0.35">
      <c r="A346" s="1" t="s">
        <v>39</v>
      </c>
      <c r="B346" s="8" t="s">
        <v>21</v>
      </c>
      <c r="C346" s="2">
        <f t="shared" si="10"/>
        <v>46049</v>
      </c>
      <c r="D346" s="10">
        <v>44.51</v>
      </c>
    </row>
    <row r="347" spans="1:4" x14ac:dyDescent="0.35">
      <c r="A347" s="1" t="s">
        <v>39</v>
      </c>
      <c r="B347" s="8" t="s">
        <v>21</v>
      </c>
      <c r="C347" s="2">
        <f t="shared" si="10"/>
        <v>46048</v>
      </c>
      <c r="D347" s="10">
        <v>47.86</v>
      </c>
    </row>
    <row r="348" spans="1:4" x14ac:dyDescent="0.35">
      <c r="A348" s="1" t="s">
        <v>39</v>
      </c>
      <c r="B348" s="8" t="s">
        <v>21</v>
      </c>
      <c r="C348" s="2">
        <v>46045</v>
      </c>
      <c r="D348" s="10">
        <v>45.69</v>
      </c>
    </row>
    <row r="349" spans="1:4" x14ac:dyDescent="0.35">
      <c r="A349" s="1" t="s">
        <v>39</v>
      </c>
      <c r="B349" s="8" t="s">
        <v>21</v>
      </c>
      <c r="C349" s="2">
        <f t="shared" si="10"/>
        <v>46044</v>
      </c>
      <c r="D349" s="10">
        <v>44.71</v>
      </c>
    </row>
    <row r="350" spans="1:4" x14ac:dyDescent="0.35">
      <c r="A350" s="1" t="s">
        <v>39</v>
      </c>
      <c r="B350" s="8" t="s">
        <v>21</v>
      </c>
      <c r="C350" s="2">
        <f t="shared" si="10"/>
        <v>46043</v>
      </c>
      <c r="D350" s="10">
        <v>43.1</v>
      </c>
    </row>
    <row r="351" spans="1:4" x14ac:dyDescent="0.35">
      <c r="A351" s="1" t="s">
        <v>39</v>
      </c>
      <c r="B351" s="8" t="s">
        <v>21</v>
      </c>
      <c r="C351" s="2">
        <f t="shared" si="10"/>
        <v>46042</v>
      </c>
      <c r="D351" s="10">
        <v>42.54</v>
      </c>
    </row>
    <row r="352" spans="1:4" x14ac:dyDescent="0.35">
      <c r="A352" s="1" t="s">
        <v>39</v>
      </c>
      <c r="B352" s="8" t="s">
        <v>21</v>
      </c>
      <c r="C352" s="2">
        <f t="shared" si="10"/>
        <v>46041</v>
      </c>
      <c r="D352" s="10">
        <v>42.5</v>
      </c>
    </row>
    <row r="353" spans="1:4" s="6" customFormat="1" x14ac:dyDescent="0.35">
      <c r="A353" s="4" t="s">
        <v>23</v>
      </c>
      <c r="B353" s="4" t="s">
        <v>5</v>
      </c>
      <c r="C353" s="5">
        <v>45352</v>
      </c>
      <c r="D353" s="9">
        <v>94.6</v>
      </c>
    </row>
    <row r="354" spans="1:4" x14ac:dyDescent="0.35">
      <c r="A354" s="20" t="s">
        <v>23</v>
      </c>
      <c r="B354" s="4" t="s">
        <v>5</v>
      </c>
      <c r="C354" s="2">
        <v>45468</v>
      </c>
      <c r="D354" s="10">
        <v>92.24</v>
      </c>
    </row>
    <row r="355" spans="1:4" x14ac:dyDescent="0.35">
      <c r="A355" s="20" t="s">
        <v>23</v>
      </c>
      <c r="B355" s="4" t="s">
        <v>5</v>
      </c>
      <c r="C355" s="2">
        <v>45505</v>
      </c>
      <c r="D355" s="10">
        <v>95.46</v>
      </c>
    </row>
    <row r="356" spans="1:4" x14ac:dyDescent="0.35">
      <c r="A356" s="20" t="s">
        <v>23</v>
      </c>
      <c r="B356" s="4" t="s">
        <v>5</v>
      </c>
      <c r="C356" s="2">
        <v>45539</v>
      </c>
      <c r="D356" s="10">
        <v>96.11</v>
      </c>
    </row>
    <row r="357" spans="1:4" x14ac:dyDescent="0.35">
      <c r="A357" s="20" t="s">
        <v>23</v>
      </c>
      <c r="B357" s="4" t="s">
        <v>5</v>
      </c>
      <c r="C357" s="2">
        <v>45611</v>
      </c>
      <c r="D357" s="10">
        <v>96.85</v>
      </c>
    </row>
    <row r="358" spans="1:4" x14ac:dyDescent="0.35">
      <c r="A358" s="20" t="s">
        <v>23</v>
      </c>
      <c r="B358" s="4" t="s">
        <v>5</v>
      </c>
      <c r="C358" s="2">
        <v>45750</v>
      </c>
      <c r="D358" s="10">
        <v>98.18</v>
      </c>
    </row>
    <row r="359" spans="1:4" x14ac:dyDescent="0.35">
      <c r="A359" s="20" t="s">
        <v>23</v>
      </c>
      <c r="B359" s="4" t="s">
        <v>5</v>
      </c>
      <c r="C359" s="2">
        <v>45812</v>
      </c>
      <c r="D359" s="10">
        <v>98.55</v>
      </c>
    </row>
    <row r="360" spans="1:4" x14ac:dyDescent="0.35">
      <c r="A360" s="20" t="s">
        <v>23</v>
      </c>
      <c r="B360" s="4" t="s">
        <v>5</v>
      </c>
      <c r="C360" s="2">
        <v>46001</v>
      </c>
      <c r="D360" s="10">
        <v>98.65</v>
      </c>
    </row>
    <row r="361" spans="1:4" x14ac:dyDescent="0.35">
      <c r="A361" s="20" t="s">
        <v>23</v>
      </c>
      <c r="B361" s="4" t="s">
        <v>5</v>
      </c>
      <c r="C361" s="2">
        <v>46052</v>
      </c>
      <c r="D361" s="10">
        <v>98.91</v>
      </c>
    </row>
    <row r="362" spans="1:4" s="6" customFormat="1" x14ac:dyDescent="0.35">
      <c r="A362" s="19" t="s">
        <v>22</v>
      </c>
      <c r="B362" s="19" t="s">
        <v>4</v>
      </c>
      <c r="C362" s="5">
        <v>46023</v>
      </c>
      <c r="D362" s="9">
        <v>100.012</v>
      </c>
    </row>
    <row r="363" spans="1:4" x14ac:dyDescent="0.35">
      <c r="A363" s="21" t="s">
        <v>22</v>
      </c>
      <c r="B363" s="19" t="s">
        <v>4</v>
      </c>
      <c r="C363" s="2">
        <f>EOMONTH(C362,-2)+1</f>
        <v>45992</v>
      </c>
      <c r="D363" s="10">
        <v>99.876000000000005</v>
      </c>
    </row>
    <row r="364" spans="1:4" x14ac:dyDescent="0.35">
      <c r="A364" s="21" t="s">
        <v>22</v>
      </c>
      <c r="B364" s="19" t="s">
        <v>4</v>
      </c>
      <c r="C364" s="2">
        <f t="shared" ref="C364:C384" si="11">EOMONTH(C363,-2)+1</f>
        <v>45962</v>
      </c>
      <c r="D364" s="10">
        <v>99.751999999999995</v>
      </c>
    </row>
    <row r="365" spans="1:4" x14ac:dyDescent="0.35">
      <c r="A365" s="21" t="s">
        <v>22</v>
      </c>
      <c r="B365" s="19" t="s">
        <v>4</v>
      </c>
      <c r="C365" s="2">
        <f t="shared" si="11"/>
        <v>45931</v>
      </c>
      <c r="D365" s="10">
        <v>99.64</v>
      </c>
    </row>
    <row r="366" spans="1:4" x14ac:dyDescent="0.35">
      <c r="A366" s="21" t="s">
        <v>22</v>
      </c>
      <c r="B366" s="19" t="s">
        <v>4</v>
      </c>
      <c r="C366" s="2">
        <f t="shared" si="11"/>
        <v>45901</v>
      </c>
      <c r="D366" s="10">
        <v>99.524000000000001</v>
      </c>
    </row>
    <row r="367" spans="1:4" x14ac:dyDescent="0.35">
      <c r="A367" s="21" t="s">
        <v>22</v>
      </c>
      <c r="B367" s="19" t="s">
        <v>4</v>
      </c>
      <c r="C367" s="2">
        <f t="shared" si="11"/>
        <v>45870</v>
      </c>
      <c r="D367" s="10">
        <v>99.385000000000005</v>
      </c>
    </row>
    <row r="368" spans="1:4" x14ac:dyDescent="0.35">
      <c r="A368" s="21" t="s">
        <v>22</v>
      </c>
      <c r="B368" s="19" t="s">
        <v>4</v>
      </c>
      <c r="C368" s="2">
        <f t="shared" si="11"/>
        <v>45839</v>
      </c>
      <c r="D368" s="10">
        <v>99.269000000000005</v>
      </c>
    </row>
    <row r="369" spans="1:4" x14ac:dyDescent="0.35">
      <c r="A369" s="21" t="s">
        <v>22</v>
      </c>
      <c r="B369" s="19" t="s">
        <v>4</v>
      </c>
      <c r="C369" s="2">
        <f t="shared" si="11"/>
        <v>45809</v>
      </c>
      <c r="D369" s="10">
        <v>99.188000000000002</v>
      </c>
    </row>
    <row r="370" spans="1:4" x14ac:dyDescent="0.35">
      <c r="A370" s="21" t="s">
        <v>22</v>
      </c>
      <c r="B370" s="19" t="s">
        <v>4</v>
      </c>
      <c r="C370" s="2">
        <f t="shared" si="11"/>
        <v>45778</v>
      </c>
      <c r="D370" s="10">
        <v>99.12</v>
      </c>
    </row>
    <row r="371" spans="1:4" x14ac:dyDescent="0.35">
      <c r="A371" s="21" t="s">
        <v>22</v>
      </c>
      <c r="B371" s="19" t="s">
        <v>4</v>
      </c>
      <c r="C371" s="2">
        <f t="shared" si="11"/>
        <v>45748</v>
      </c>
      <c r="D371" s="10">
        <v>98.971000000000004</v>
      </c>
    </row>
    <row r="372" spans="1:4" x14ac:dyDescent="0.35">
      <c r="A372" s="21" t="s">
        <v>22</v>
      </c>
      <c r="B372" s="19" t="s">
        <v>4</v>
      </c>
      <c r="C372" s="2">
        <f t="shared" si="11"/>
        <v>45717</v>
      </c>
      <c r="D372" s="10">
        <v>98.638999999999996</v>
      </c>
    </row>
    <row r="373" spans="1:4" x14ac:dyDescent="0.35">
      <c r="A373" s="21" t="s">
        <v>22</v>
      </c>
      <c r="B373" s="19" t="s">
        <v>4</v>
      </c>
      <c r="C373" s="2">
        <f t="shared" si="11"/>
        <v>45689</v>
      </c>
      <c r="D373" s="10">
        <v>98.457999999999998</v>
      </c>
    </row>
    <row r="374" spans="1:4" x14ac:dyDescent="0.35">
      <c r="A374" s="21" t="s">
        <v>22</v>
      </c>
      <c r="B374" s="19" t="s">
        <v>4</v>
      </c>
      <c r="C374" s="2">
        <f t="shared" si="11"/>
        <v>45658</v>
      </c>
      <c r="D374" s="10">
        <v>98.23</v>
      </c>
    </row>
    <row r="375" spans="1:4" x14ac:dyDescent="0.35">
      <c r="A375" s="21" t="s">
        <v>22</v>
      </c>
      <c r="B375" s="19" t="s">
        <v>4</v>
      </c>
      <c r="C375" s="2">
        <f t="shared" si="11"/>
        <v>45627</v>
      </c>
      <c r="D375" s="10">
        <v>98.1</v>
      </c>
    </row>
    <row r="376" spans="1:4" x14ac:dyDescent="0.35">
      <c r="A376" s="21" t="s">
        <v>22</v>
      </c>
      <c r="B376" s="19" t="s">
        <v>4</v>
      </c>
      <c r="C376" s="2">
        <f t="shared" si="11"/>
        <v>45597</v>
      </c>
      <c r="D376" s="10">
        <v>97.94</v>
      </c>
    </row>
    <row r="377" spans="1:4" x14ac:dyDescent="0.35">
      <c r="A377" s="21" t="s">
        <v>22</v>
      </c>
      <c r="B377" s="19" t="s">
        <v>4</v>
      </c>
      <c r="C377" s="2">
        <f t="shared" si="11"/>
        <v>45566</v>
      </c>
      <c r="D377" s="10">
        <v>97.3</v>
      </c>
    </row>
    <row r="378" spans="1:4" x14ac:dyDescent="0.35">
      <c r="A378" s="21" t="s">
        <v>22</v>
      </c>
      <c r="B378" s="19" t="s">
        <v>4</v>
      </c>
      <c r="C378" s="2">
        <f t="shared" si="11"/>
        <v>45536</v>
      </c>
      <c r="D378" s="10">
        <v>97.35</v>
      </c>
    </row>
    <row r="379" spans="1:4" x14ac:dyDescent="0.35">
      <c r="A379" s="21" t="s">
        <v>22</v>
      </c>
      <c r="B379" s="19" t="s">
        <v>4</v>
      </c>
      <c r="C379" s="2">
        <f t="shared" si="11"/>
        <v>45505</v>
      </c>
      <c r="D379" s="10">
        <v>96.76</v>
      </c>
    </row>
    <row r="380" spans="1:4" x14ac:dyDescent="0.35">
      <c r="A380" s="21" t="s">
        <v>22</v>
      </c>
      <c r="B380" s="19" t="s">
        <v>4</v>
      </c>
      <c r="C380" s="2">
        <f t="shared" si="11"/>
        <v>45474</v>
      </c>
      <c r="D380" s="10">
        <v>96.35</v>
      </c>
    </row>
    <row r="381" spans="1:4" x14ac:dyDescent="0.35">
      <c r="A381" s="21" t="s">
        <v>22</v>
      </c>
      <c r="B381" s="19" t="s">
        <v>4</v>
      </c>
      <c r="C381" s="2">
        <f t="shared" si="11"/>
        <v>45444</v>
      </c>
      <c r="D381" s="10">
        <v>95.42</v>
      </c>
    </row>
    <row r="382" spans="1:4" x14ac:dyDescent="0.35">
      <c r="A382" s="21" t="s">
        <v>22</v>
      </c>
      <c r="B382" s="19" t="s">
        <v>4</v>
      </c>
      <c r="C382" s="2">
        <f t="shared" si="11"/>
        <v>45413</v>
      </c>
      <c r="D382" s="10">
        <v>95.25</v>
      </c>
    </row>
    <row r="383" spans="1:4" x14ac:dyDescent="0.35">
      <c r="A383" s="21" t="s">
        <v>22</v>
      </c>
      <c r="B383" s="19" t="s">
        <v>4</v>
      </c>
      <c r="C383" s="2">
        <f t="shared" si="11"/>
        <v>45383</v>
      </c>
      <c r="D383" s="10">
        <v>95.03</v>
      </c>
    </row>
    <row r="384" spans="1:4" x14ac:dyDescent="0.35">
      <c r="A384" s="21" t="s">
        <v>22</v>
      </c>
      <c r="B384" s="19" t="s">
        <v>4</v>
      </c>
      <c r="C384" s="2">
        <f t="shared" si="11"/>
        <v>45352</v>
      </c>
      <c r="D384" s="10">
        <v>95.2</v>
      </c>
    </row>
  </sheetData>
  <conditionalFormatting sqref="B25:B49">
    <cfRule type="containsText" dxfId="31" priority="35" stopIfTrue="1" operator="containsText" text="BTP">
      <formula>NOT(ISERROR(SEARCH("BTP",B25)))</formula>
    </cfRule>
    <cfRule type="expression" dxfId="30" priority="36" stopIfTrue="1">
      <formula>IF(AND(ISNUMBER(SEARCH("H2O", B25)), ISNUMBER(SEARCH("SP", B25))), 1,0)</formula>
    </cfRule>
  </conditionalFormatting>
  <conditionalFormatting sqref="B97">
    <cfRule type="containsText" dxfId="29" priority="33" stopIfTrue="1" operator="containsText" text="BTP">
      <formula>NOT(ISERROR(SEARCH("BTP",B97)))</formula>
    </cfRule>
    <cfRule type="expression" dxfId="28" priority="34" stopIfTrue="1">
      <formula>IF(AND(ISNUMBER(SEARCH("H2O", B97)), ISNUMBER(SEARCH("SP", B97))), 1,0)</formula>
    </cfRule>
  </conditionalFormatting>
  <conditionalFormatting sqref="B121">
    <cfRule type="containsText" dxfId="27" priority="31" stopIfTrue="1" operator="containsText" text="BTP">
      <formula>NOT(ISERROR(SEARCH("BTP",B121)))</formula>
    </cfRule>
    <cfRule type="expression" dxfId="26" priority="32" stopIfTrue="1">
      <formula>IF(AND(ISNUMBER(SEARCH("H2O", B121)), ISNUMBER(SEARCH("SP", B121))), 1,0)</formula>
    </cfRule>
  </conditionalFormatting>
  <conditionalFormatting sqref="B144">
    <cfRule type="containsText" dxfId="25" priority="29" stopIfTrue="1" operator="containsText" text="BTP">
      <formula>NOT(ISERROR(SEARCH("BTP",B144)))</formula>
    </cfRule>
    <cfRule type="expression" dxfId="24" priority="30" stopIfTrue="1">
      <formula>IF(AND(ISNUMBER(SEARCH("H2O", B144)), ISNUMBER(SEARCH("SP", B144))), 1,0)</formula>
    </cfRule>
  </conditionalFormatting>
  <conditionalFormatting sqref="B167">
    <cfRule type="containsText" dxfId="23" priority="27" stopIfTrue="1" operator="containsText" text="BTP">
      <formula>NOT(ISERROR(SEARCH("BTP",B167)))</formula>
    </cfRule>
    <cfRule type="expression" dxfId="22" priority="28" stopIfTrue="1">
      <formula>IF(AND(ISNUMBER(SEARCH("H2O", B167)), ISNUMBER(SEARCH("SP", B167))), 1,0)</formula>
    </cfRule>
  </conditionalFormatting>
  <conditionalFormatting sqref="B190">
    <cfRule type="containsText" dxfId="21" priority="25" stopIfTrue="1" operator="containsText" text="BTP">
      <formula>NOT(ISERROR(SEARCH("BTP",B190)))</formula>
    </cfRule>
    <cfRule type="expression" dxfId="20" priority="26" stopIfTrue="1">
      <formula>IF(AND(ISNUMBER(SEARCH("H2O", B190)), ISNUMBER(SEARCH("SP", B190))), 1,0)</formula>
    </cfRule>
  </conditionalFormatting>
  <conditionalFormatting sqref="B213">
    <cfRule type="containsText" dxfId="19" priority="23" stopIfTrue="1" operator="containsText" text="BTP">
      <formula>NOT(ISERROR(SEARCH("BTP",B213)))</formula>
    </cfRule>
    <cfRule type="expression" dxfId="18" priority="24" stopIfTrue="1">
      <formula>IF(AND(ISNUMBER(SEARCH("H2O", B213)), ISNUMBER(SEARCH("SP", B213))), 1,0)</formula>
    </cfRule>
  </conditionalFormatting>
  <conditionalFormatting sqref="B236">
    <cfRule type="containsText" dxfId="17" priority="21" stopIfTrue="1" operator="containsText" text="BTP">
      <formula>NOT(ISERROR(SEARCH("BTP",B236)))</formula>
    </cfRule>
    <cfRule type="expression" dxfId="16" priority="22" stopIfTrue="1">
      <formula>IF(AND(ISNUMBER(SEARCH("H2O", B236)), ISNUMBER(SEARCH("SP", B236))), 1,0)</formula>
    </cfRule>
  </conditionalFormatting>
  <conditionalFormatting sqref="B259">
    <cfRule type="containsText" dxfId="15" priority="19" stopIfTrue="1" operator="containsText" text="BTP">
      <formula>NOT(ISERROR(SEARCH("BTP",B259)))</formula>
    </cfRule>
    <cfRule type="expression" dxfId="14" priority="20" stopIfTrue="1">
      <formula>IF(AND(ISNUMBER(SEARCH("H2O", B259)), ISNUMBER(SEARCH("SP", B259))), 1,0)</formula>
    </cfRule>
  </conditionalFormatting>
  <conditionalFormatting sqref="B282">
    <cfRule type="containsText" dxfId="13" priority="17" stopIfTrue="1" operator="containsText" text="BTP">
      <formula>NOT(ISERROR(SEARCH("BTP",B282)))</formula>
    </cfRule>
    <cfRule type="expression" dxfId="12" priority="18" stopIfTrue="1">
      <formula>IF(AND(ISNUMBER(SEARCH("H2O", B282)), ISNUMBER(SEARCH("SP", B282))), 1,0)</formula>
    </cfRule>
  </conditionalFormatting>
  <conditionalFormatting sqref="B305">
    <cfRule type="containsText" dxfId="11" priority="15" stopIfTrue="1" operator="containsText" text="BTP">
      <formula>NOT(ISERROR(SEARCH("BTP",B305)))</formula>
    </cfRule>
    <cfRule type="expression" dxfId="10" priority="16" stopIfTrue="1">
      <formula>IF(AND(ISNUMBER(SEARCH("H2O", B305)), ISNUMBER(SEARCH("SP", B305))), 1,0)</formula>
    </cfRule>
  </conditionalFormatting>
  <conditionalFormatting sqref="B328">
    <cfRule type="containsText" dxfId="9" priority="13" stopIfTrue="1" operator="containsText" text="BTP">
      <formula>NOT(ISERROR(SEARCH("BTP",B328)))</formula>
    </cfRule>
    <cfRule type="expression" dxfId="8" priority="14" stopIfTrue="1">
      <formula>IF(AND(ISNUMBER(SEARCH("H2O", B328)), ISNUMBER(SEARCH("SP", B328))), 1,0)</formula>
    </cfRule>
  </conditionalFormatting>
  <conditionalFormatting sqref="B343">
    <cfRule type="containsText" dxfId="7" priority="11" stopIfTrue="1" operator="containsText" text="BTP">
      <formula>NOT(ISERROR(SEARCH("BTP",B343)))</formula>
    </cfRule>
    <cfRule type="expression" dxfId="6" priority="12" stopIfTrue="1">
      <formula>IF(AND(ISNUMBER(SEARCH("H2O", B343)), ISNUMBER(SEARCH("SP", B343))), 1,0)</formula>
    </cfRule>
  </conditionalFormatting>
  <conditionalFormatting sqref="B353:B384">
    <cfRule type="containsText" dxfId="5" priority="5" stopIfTrue="1" operator="containsText" text="BTP">
      <formula>NOT(ISERROR(SEARCH("BTP",B353)))</formula>
    </cfRule>
    <cfRule type="expression" dxfId="4" priority="6" stopIfTrue="1">
      <formula>IF(AND(ISNUMBER(SEARCH("H2O", B353)), ISNUMBER(SEARCH("SP", B353))), 1,0)</formula>
    </cfRule>
  </conditionalFormatting>
  <conditionalFormatting sqref="B354:B361 B363:B375">
    <cfRule type="expression" dxfId="3" priority="10" stopIfTrue="1">
      <formula>IF(AND(ISNUMBER(SEARCH("H2O", B354)), ISNUMBER(SEARCH("SP", B354))), 1,0)</formula>
    </cfRule>
  </conditionalFormatting>
  <conditionalFormatting sqref="B363:B375 B354:B361">
    <cfRule type="containsText" dxfId="2" priority="9" stopIfTrue="1" operator="containsText" text="BTP">
      <formula>NOT(ISERROR(SEARCH("BTP",B354)))</formula>
    </cfRule>
  </conditionalFormatting>
  <conditionalFormatting sqref="B363:B375">
    <cfRule type="containsText" dxfId="1" priority="7" stopIfTrue="1" operator="containsText" text="BTP">
      <formula>NOT(ISERROR(SEARCH("BTP",B363)))</formula>
    </cfRule>
    <cfRule type="expression" dxfId="0" priority="8" stopIfTrue="1">
      <formula>IF(AND(ISNUMBER(SEARCH("H2O", B363)), ISNUMBER(SEARCH("SP", B363))), 1,0)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4DA1-8EEA-4D5C-B0E7-EB3D7C84F8B5}">
  <dimension ref="A1"/>
  <sheetViews>
    <sheetView workbookViewId="0">
      <selection activeCell="G3" sqref="G3:G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2026-03-23T13:05:43Z</dcterms:modified>
</cp:coreProperties>
</file>