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MP\Prezzi Correnti\"/>
    </mc:Choice>
  </mc:AlternateContent>
  <xr:revisionPtr revIDLastSave="0" documentId="13_ncr:1_{CC4A90B1-EC9A-4269-85DD-81C777620B1F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  <sheet name="Sheet2" sheetId="2" r:id="rId2"/>
  </sheets>
  <definedNames>
    <definedName name="_xlnm._FilterDatabase" localSheetId="1" hidden="1">Sheet2!$A$1:$C$23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8" i="1"/>
  <c r="I9" i="1"/>
  <c r="I10" i="1"/>
  <c r="I11" i="1"/>
  <c r="I12" i="1"/>
  <c r="I13" i="1"/>
  <c r="I14" i="1"/>
  <c r="I15" i="1"/>
  <c r="I16" i="1"/>
  <c r="I17" i="1"/>
  <c r="I18" i="1"/>
  <c r="I19" i="1"/>
  <c r="I5" i="1" l="1"/>
  <c r="I6" i="1"/>
  <c r="I7" i="1"/>
  <c r="I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D7EE38C7-C4D9-4161-B493-1BD7CAC89732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F3EA6C4C-02C9-4399-B379-A03F8AF902E3}">
      <text>
        <r>
          <rPr>
            <sz val="9"/>
            <color indexed="81"/>
            <rFont val="Tahoma"/>
            <family val="2"/>
          </rPr>
          <t>=LET(
    Prezzo, [@[Prezzo Mercato]],
    Divisa, [@Divisa],
     IF(Divisa="EUR", Prezzo,
       LET(
          Data, STOCKHISTORY(Divisa &amp; "/EUR", TODAY()-15, TODAY(), 0, 0, 1),
          TassiValidi, FILTER(Data, ISNUMBER(Data)),
          UltimoTasso, TAKE(TassiValidi, -1),
          Prezzo * UltimoTasso
       )
    )
)</t>
        </r>
      </text>
    </comment>
  </commentList>
</comments>
</file>

<file path=xl/sharedStrings.xml><?xml version="1.0" encoding="utf-8"?>
<sst xmlns="http://schemas.openxmlformats.org/spreadsheetml/2006/main" count="109" uniqueCount="56">
  <si>
    <t>Descrizione Titolo</t>
  </si>
  <si>
    <t>ISIN</t>
  </si>
  <si>
    <t>Quantità</t>
  </si>
  <si>
    <t>Divisa</t>
  </si>
  <si>
    <t>Prezzo Carico (EUR)</t>
  </si>
  <si>
    <t>Prezzo Corrente (EUR)</t>
  </si>
  <si>
    <t>LU0345361124</t>
  </si>
  <si>
    <t>FID ASIA AGGR AC EUR</t>
  </si>
  <si>
    <t>BTP FEBBR 26 0.5%</t>
  </si>
  <si>
    <t>BTP01.03.22-01.04.27</t>
  </si>
  <si>
    <t>H2O MULTIBONDS R EUR</t>
  </si>
  <si>
    <t>H2O MULTISTRATEGIES</t>
  </si>
  <si>
    <t>FID GLO QLTY USD EUR</t>
  </si>
  <si>
    <t>ISHS MSCI WORLD EUR</t>
  </si>
  <si>
    <t>M&amp;G EUROP STRA VAL A</t>
  </si>
  <si>
    <t>MEDIOBANCA AB N</t>
  </si>
  <si>
    <t>MSIF GL BRDS AC</t>
  </si>
  <si>
    <t>MSIF GL OPP AC</t>
  </si>
  <si>
    <t>N1 CLIM ENV EQ B EUR</t>
  </si>
  <si>
    <t>N1 EUR BANK D BP EUR</t>
  </si>
  <si>
    <t>Nordea 1 - Alpha 15 Ma Fund Bp Eur</t>
  </si>
  <si>
    <t>SISF ASIAN OP AC EUR</t>
  </si>
  <si>
    <t>XTRACKERS INFORM EUR</t>
  </si>
  <si>
    <t>AMUNDI ELTIF PIR AP</t>
  </si>
  <si>
    <t>BTP 2025/02/01 0,35%</t>
  </si>
  <si>
    <t>BSKT/BNPI 28</t>
  </si>
  <si>
    <t>GLB X SILV USD-A EUR</t>
  </si>
  <si>
    <t>VON EXPE28</t>
  </si>
  <si>
    <t>VON EXPE29</t>
  </si>
  <si>
    <t>Data acquisto</t>
  </si>
  <si>
    <t>IT0005419848</t>
  </si>
  <si>
    <t>IT0005484552</t>
  </si>
  <si>
    <t>FR0013393329</t>
  </si>
  <si>
    <t>FR0010923383</t>
  </si>
  <si>
    <t>IE00BYXVGZ48</t>
  </si>
  <si>
    <t>IE00B4L5Y983</t>
  </si>
  <si>
    <t>LU1670707527</t>
  </si>
  <si>
    <t>IT0005630253</t>
  </si>
  <si>
    <t>LU0119620416</t>
  </si>
  <si>
    <t>LU0552385295</t>
  </si>
  <si>
    <t>LU0348926287</t>
  </si>
  <si>
    <t>LU0772944145</t>
  </si>
  <si>
    <t>LU0607983896</t>
  </si>
  <si>
    <t>LU0248184466</t>
  </si>
  <si>
    <t>IE00BM67HT60</t>
  </si>
  <si>
    <t>LU2906336990</t>
  </si>
  <si>
    <t>IT0005386245</t>
  </si>
  <si>
    <t>XS3174997521</t>
  </si>
  <si>
    <t>IE000UL6CLP7</t>
  </si>
  <si>
    <t>DE000VJ0K5X0</t>
  </si>
  <si>
    <t>DE000VJ20861</t>
  </si>
  <si>
    <t>Controvalore Totale:</t>
  </si>
  <si>
    <t>EUR</t>
  </si>
  <si>
    <t>USD</t>
  </si>
  <si>
    <t>Data</t>
  </si>
  <si>
    <t>Descrizione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</si>
</sst>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164" formatCode="#,##0.00;;\-"/>
    <numFmt numFmtId="165" formatCode="0.0000"/>
    <numFmt numFmtId="166" formatCode="#,##0.0000\ &quot;€&quot;;[Red]\-#,##0.0000\ &quot;€&quot;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 style="medium">
        <color theme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3" xfId="0" applyFill="1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5" fillId="0" borderId="0" xfId="0" applyFont="1"/>
    <xf numFmtId="8" fontId="4" fillId="5" borderId="6" xfId="0" applyNumberFormat="1" applyFont="1" applyFill="1" applyBorder="1"/>
    <xf numFmtId="0" fontId="4" fillId="0" borderId="1" xfId="0" applyFont="1" applyBorder="1"/>
    <xf numFmtId="0" fontId="4" fillId="0" borderId="5" xfId="0" applyFont="1" applyBorder="1"/>
    <xf numFmtId="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/>
    <xf numFmtId="8" fontId="0" fillId="0" borderId="0" xfId="0" applyNumberFormat="1"/>
    <xf numFmtId="9" fontId="0" fillId="0" borderId="0" xfId="0" applyNumberFormat="1"/>
    <xf numFmtId="166" fontId="0" fillId="4" borderId="1" xfId="0" applyNumberForma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L19"/>
  <sheetViews>
    <sheetView showGridLines="0"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9.36328125" customWidth="1"/>
    <col min="4" max="4" width="7.36328125" customWidth="1"/>
    <col min="5" max="5" width="18.36328125" customWidth="1"/>
    <col min="6" max="6" width="12.1796875" style="3" customWidth="1"/>
    <col min="7" max="7" width="21.90625" customWidth="1"/>
    <col min="9" max="9" width="12.6328125" bestFit="1" customWidth="1"/>
    <col min="11" max="11" width="17.90625" bestFit="1" customWidth="1"/>
    <col min="12" max="12" width="19.1796875" customWidth="1"/>
  </cols>
  <sheetData>
    <row r="1" spans="1:12" ht="15" thickBot="1" x14ac:dyDescent="0.4">
      <c r="A1" s="24" t="s">
        <v>55</v>
      </c>
      <c r="B1" s="25" t="s">
        <v>1</v>
      </c>
      <c r="C1" s="24" t="s">
        <v>2</v>
      </c>
      <c r="D1" s="24" t="s">
        <v>3</v>
      </c>
      <c r="E1" s="24" t="s">
        <v>4</v>
      </c>
      <c r="F1" s="26" t="s">
        <v>54</v>
      </c>
      <c r="G1" s="26" t="s">
        <v>5</v>
      </c>
      <c r="I1" s="15">
        <f>SUM(I2:I19)</f>
        <v>485583.31823267997</v>
      </c>
      <c r="J1" s="14" t="s">
        <v>51</v>
      </c>
    </row>
    <row r="2" spans="1:12" x14ac:dyDescent="0.35">
      <c r="A2" s="16" t="s">
        <v>23</v>
      </c>
      <c r="B2" s="17" t="s">
        <v>45</v>
      </c>
      <c r="C2" s="18">
        <v>99.85</v>
      </c>
      <c r="D2" s="19" t="s">
        <v>52</v>
      </c>
      <c r="E2" s="20">
        <v>100</v>
      </c>
      <c r="F2" s="13">
        <v>46056</v>
      </c>
      <c r="G2" s="23">
        <v>100.77</v>
      </c>
      <c r="I2" s="21">
        <f t="shared" ref="I2:I19" si="0">+C2*G2</f>
        <v>10061.884499999998</v>
      </c>
    </row>
    <row r="3" spans="1:12" x14ac:dyDescent="0.35">
      <c r="A3" s="16" t="s">
        <v>25</v>
      </c>
      <c r="B3" s="17" t="s">
        <v>47</v>
      </c>
      <c r="C3" s="18">
        <v>155</v>
      </c>
      <c r="D3" s="19" t="s">
        <v>52</v>
      </c>
      <c r="E3" s="20">
        <v>94.621300000000005</v>
      </c>
      <c r="F3" s="13">
        <v>46056</v>
      </c>
      <c r="G3" s="23">
        <v>95.99</v>
      </c>
      <c r="I3" s="21">
        <f t="shared" si="0"/>
        <v>14878.449999999999</v>
      </c>
    </row>
    <row r="4" spans="1:12" x14ac:dyDescent="0.35">
      <c r="A4" s="16" t="s">
        <v>9</v>
      </c>
      <c r="B4" s="17" t="s">
        <v>31</v>
      </c>
      <c r="C4" s="18">
        <v>250</v>
      </c>
      <c r="D4" s="19" t="s">
        <v>52</v>
      </c>
      <c r="E4" s="20">
        <v>90.380700000000004</v>
      </c>
      <c r="F4" s="13">
        <v>46056</v>
      </c>
      <c r="G4" s="23">
        <v>98.96</v>
      </c>
      <c r="I4" s="21">
        <f t="shared" si="0"/>
        <v>24740</v>
      </c>
    </row>
    <row r="5" spans="1:12" x14ac:dyDescent="0.35">
      <c r="A5" s="16" t="s">
        <v>7</v>
      </c>
      <c r="B5" s="17" t="s">
        <v>6</v>
      </c>
      <c r="C5" s="18">
        <v>786.29</v>
      </c>
      <c r="D5" s="19" t="s">
        <v>52</v>
      </c>
      <c r="E5" s="20">
        <v>31.14</v>
      </c>
      <c r="F5" s="13">
        <v>46056</v>
      </c>
      <c r="G5" s="23">
        <v>33.24</v>
      </c>
      <c r="I5" s="21">
        <f t="shared" si="0"/>
        <v>26136.279600000002</v>
      </c>
      <c r="K5" s="21"/>
      <c r="L5" s="22"/>
    </row>
    <row r="6" spans="1:12" x14ac:dyDescent="0.35">
      <c r="A6" s="16" t="s">
        <v>12</v>
      </c>
      <c r="B6" s="17" t="s">
        <v>34</v>
      </c>
      <c r="C6" s="18">
        <v>570</v>
      </c>
      <c r="D6" s="19" t="s">
        <v>52</v>
      </c>
      <c r="E6" s="20">
        <v>8.8187999999999995</v>
      </c>
      <c r="F6" s="13">
        <v>46056</v>
      </c>
      <c r="G6" s="23">
        <v>9.2200000000000006</v>
      </c>
      <c r="I6" s="21">
        <f t="shared" si="0"/>
        <v>5255.4000000000005</v>
      </c>
      <c r="K6" s="21"/>
      <c r="L6" s="22"/>
    </row>
    <row r="7" spans="1:12" x14ac:dyDescent="0.35">
      <c r="A7" s="16" t="s">
        <v>26</v>
      </c>
      <c r="B7" s="17" t="s">
        <v>48</v>
      </c>
      <c r="C7" s="18">
        <v>237</v>
      </c>
      <c r="D7" s="19" t="s">
        <v>52</v>
      </c>
      <c r="E7" s="20">
        <v>42.381100000000004</v>
      </c>
      <c r="F7" s="13">
        <v>46056</v>
      </c>
      <c r="G7" s="23">
        <v>37.895000000000003</v>
      </c>
      <c r="I7" s="21">
        <f t="shared" si="0"/>
        <v>8981.1150000000016</v>
      </c>
      <c r="K7" s="21"/>
      <c r="L7" s="22"/>
    </row>
    <row r="8" spans="1:12" x14ac:dyDescent="0.35">
      <c r="A8" s="16" t="s">
        <v>10</v>
      </c>
      <c r="B8" s="17" t="s">
        <v>32</v>
      </c>
      <c r="C8" s="18">
        <v>808.88599999999997</v>
      </c>
      <c r="D8" s="19" t="s">
        <v>52</v>
      </c>
      <c r="E8" s="20">
        <v>79.260800000000003</v>
      </c>
      <c r="F8" s="13">
        <v>46056</v>
      </c>
      <c r="G8" s="23">
        <v>153.02000000000001</v>
      </c>
      <c r="I8" s="21">
        <f t="shared" si="0"/>
        <v>123775.73572</v>
      </c>
    </row>
    <row r="9" spans="1:12" x14ac:dyDescent="0.35">
      <c r="A9" s="16" t="s">
        <v>11</v>
      </c>
      <c r="B9" s="17" t="s">
        <v>33</v>
      </c>
      <c r="C9" s="18">
        <v>255.42699999999999</v>
      </c>
      <c r="D9" s="19" t="s">
        <v>52</v>
      </c>
      <c r="E9" s="20">
        <v>188.8296</v>
      </c>
      <c r="F9" s="13">
        <v>46056</v>
      </c>
      <c r="G9" s="23">
        <v>385.74</v>
      </c>
      <c r="I9" s="21">
        <f t="shared" si="0"/>
        <v>98528.410980000001</v>
      </c>
      <c r="K9" s="21"/>
    </row>
    <row r="10" spans="1:12" x14ac:dyDescent="0.35">
      <c r="A10" s="16" t="s">
        <v>13</v>
      </c>
      <c r="B10" s="17" t="s">
        <v>35</v>
      </c>
      <c r="C10" s="18">
        <v>47</v>
      </c>
      <c r="D10" s="19" t="s">
        <v>52</v>
      </c>
      <c r="E10" s="20">
        <v>108.09699999999999</v>
      </c>
      <c r="F10" s="13">
        <v>46056</v>
      </c>
      <c r="G10" s="23">
        <v>113.44</v>
      </c>
      <c r="I10" s="21">
        <f t="shared" si="0"/>
        <v>5331.68</v>
      </c>
    </row>
    <row r="11" spans="1:12" x14ac:dyDescent="0.35">
      <c r="A11" s="16" t="s">
        <v>14</v>
      </c>
      <c r="B11" s="17" t="s">
        <v>36</v>
      </c>
      <c r="C11" s="18">
        <v>945.54899999999998</v>
      </c>
      <c r="D11" s="19" t="s">
        <v>52</v>
      </c>
      <c r="E11" s="20">
        <v>16.910799999999998</v>
      </c>
      <c r="F11" s="13">
        <v>46056</v>
      </c>
      <c r="G11" s="23">
        <v>21.462599999999998</v>
      </c>
      <c r="I11" s="21">
        <f t="shared" si="0"/>
        <v>20293.939967399998</v>
      </c>
    </row>
    <row r="12" spans="1:12" x14ac:dyDescent="0.35">
      <c r="A12" s="16" t="s">
        <v>16</v>
      </c>
      <c r="B12" s="17" t="s">
        <v>38</v>
      </c>
      <c r="C12" s="18">
        <v>104.37</v>
      </c>
      <c r="D12" s="19" t="s">
        <v>53</v>
      </c>
      <c r="E12" s="20">
        <v>183.25</v>
      </c>
      <c r="F12" s="13">
        <v>46056</v>
      </c>
      <c r="G12" s="23">
        <v>180.55615999999998</v>
      </c>
      <c r="I12" s="21">
        <f t="shared" si="0"/>
        <v>18844.646419199998</v>
      </c>
    </row>
    <row r="13" spans="1:12" x14ac:dyDescent="0.35">
      <c r="A13" s="16" t="s">
        <v>17</v>
      </c>
      <c r="B13" s="17" t="s">
        <v>39</v>
      </c>
      <c r="C13" s="18">
        <v>207.953</v>
      </c>
      <c r="D13" s="19" t="s">
        <v>53</v>
      </c>
      <c r="E13" s="20">
        <v>86.142099999999999</v>
      </c>
      <c r="F13" s="13">
        <v>46056</v>
      </c>
      <c r="G13" s="23">
        <v>136.03616</v>
      </c>
      <c r="I13" s="21">
        <f t="shared" si="0"/>
        <v>28289.127580479999</v>
      </c>
    </row>
    <row r="14" spans="1:12" x14ac:dyDescent="0.35">
      <c r="A14" s="16" t="s">
        <v>18</v>
      </c>
      <c r="B14" s="17" t="s">
        <v>40</v>
      </c>
      <c r="C14" s="18">
        <v>448.18400000000003</v>
      </c>
      <c r="D14" s="19" t="s">
        <v>52</v>
      </c>
      <c r="E14" s="20">
        <v>24.51</v>
      </c>
      <c r="F14" s="13">
        <v>46056</v>
      </c>
      <c r="G14" s="23">
        <v>35.299799999999998</v>
      </c>
      <c r="I14" s="21">
        <f t="shared" si="0"/>
        <v>15820.8055632</v>
      </c>
    </row>
    <row r="15" spans="1:12" x14ac:dyDescent="0.35">
      <c r="A15" s="16" t="s">
        <v>19</v>
      </c>
      <c r="B15" s="17" t="s">
        <v>41</v>
      </c>
      <c r="C15" s="18">
        <v>117.944</v>
      </c>
      <c r="D15" s="19" t="s">
        <v>52</v>
      </c>
      <c r="E15" s="20">
        <v>188.49709999999999</v>
      </c>
      <c r="F15" s="13">
        <v>46056</v>
      </c>
      <c r="G15" s="23">
        <v>210.91560000000001</v>
      </c>
      <c r="I15" s="21">
        <f t="shared" si="0"/>
        <v>24876.229526400002</v>
      </c>
    </row>
    <row r="16" spans="1:12" x14ac:dyDescent="0.35">
      <c r="A16" s="16" t="s">
        <v>21</v>
      </c>
      <c r="B16" s="17" t="s">
        <v>43</v>
      </c>
      <c r="C16" s="18">
        <v>586.02</v>
      </c>
      <c r="D16" s="19" t="s">
        <v>52</v>
      </c>
      <c r="E16" s="20">
        <v>17.7333</v>
      </c>
      <c r="F16" s="13">
        <v>46056</v>
      </c>
      <c r="G16" s="23">
        <v>26.828800000000001</v>
      </c>
      <c r="I16" s="21">
        <f t="shared" si="0"/>
        <v>15722.213376</v>
      </c>
    </row>
    <row r="17" spans="1:9" x14ac:dyDescent="0.35">
      <c r="A17" s="16" t="s">
        <v>27</v>
      </c>
      <c r="B17" s="17" t="s">
        <v>49</v>
      </c>
      <c r="C17" s="18">
        <v>15</v>
      </c>
      <c r="D17" s="19" t="s">
        <v>52</v>
      </c>
      <c r="E17" s="20">
        <v>1009.4647</v>
      </c>
      <c r="F17" s="13">
        <v>46056</v>
      </c>
      <c r="G17" s="23">
        <v>1011</v>
      </c>
      <c r="I17" s="21">
        <f t="shared" si="0"/>
        <v>15165</v>
      </c>
    </row>
    <row r="18" spans="1:9" x14ac:dyDescent="0.35">
      <c r="A18" s="16" t="s">
        <v>28</v>
      </c>
      <c r="B18" s="17" t="s">
        <v>50</v>
      </c>
      <c r="C18" s="18">
        <v>205</v>
      </c>
      <c r="D18" s="19" t="s">
        <v>52</v>
      </c>
      <c r="E18" s="20">
        <v>97.022000000000006</v>
      </c>
      <c r="F18" s="13">
        <v>46056</v>
      </c>
      <c r="G18" s="23">
        <v>99.4</v>
      </c>
      <c r="I18" s="21">
        <f t="shared" si="0"/>
        <v>20377</v>
      </c>
    </row>
    <row r="19" spans="1:9" x14ac:dyDescent="0.35">
      <c r="A19" s="16" t="s">
        <v>22</v>
      </c>
      <c r="B19" s="17" t="s">
        <v>44</v>
      </c>
      <c r="C19" s="18">
        <v>86</v>
      </c>
      <c r="D19" s="19" t="s">
        <v>52</v>
      </c>
      <c r="E19" s="20">
        <v>93.194999999999993</v>
      </c>
      <c r="F19" s="13">
        <v>46056</v>
      </c>
      <c r="G19" s="23">
        <v>98.9</v>
      </c>
      <c r="I19" s="21">
        <f t="shared" si="0"/>
        <v>8505.4</v>
      </c>
    </row>
  </sheetData>
  <conditionalFormatting sqref="A2:A19">
    <cfRule type="expression" dxfId="5" priority="3" stopIfTrue="1">
      <formula>IF(AND(ISNUMBER(SEARCH("H2O", A2)), ISNUMBER(SEARCH("SP", A2))), 1,0)</formula>
    </cfRule>
    <cfRule type="containsText" dxfId="4" priority="4" stopIfTrue="1" operator="containsText" text="BTP">
      <formula>NOT(ISERROR(SEARCH("BTP",A2)))</formula>
    </cfRule>
  </conditionalFormatting>
  <conditionalFormatting sqref="D2:D19">
    <cfRule type="notContainsText" dxfId="2" priority="2" operator="notContains" text="EUR">
      <formula>ISERROR(SEARCH("EUR",D2))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983253CC-52ED-4C0F-8FE7-E0961D3C14A9}">
            <xm:f>NOT(ISERROR(SEARCH("-",D2)))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D2:D19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381C-8CBF-446A-9253-195F23709E46}">
  <dimension ref="A1:C23"/>
  <sheetViews>
    <sheetView workbookViewId="0">
      <selection activeCell="A2" sqref="A2"/>
    </sheetView>
  </sheetViews>
  <sheetFormatPr defaultRowHeight="14.5" x14ac:dyDescent="0.35"/>
  <cols>
    <col min="1" max="1" width="28.36328125" bestFit="1" customWidth="1"/>
    <col min="2" max="2" width="28.36328125" customWidth="1"/>
    <col min="3" max="3" width="19.36328125" bestFit="1" customWidth="1"/>
  </cols>
  <sheetData>
    <row r="1" spans="1:3" ht="15" thickBot="1" x14ac:dyDescent="0.4">
      <c r="A1" s="4" t="s">
        <v>0</v>
      </c>
      <c r="B1" s="12" t="s">
        <v>1</v>
      </c>
      <c r="C1" s="8" t="s">
        <v>29</v>
      </c>
    </row>
    <row r="2" spans="1:3" x14ac:dyDescent="0.35">
      <c r="A2" s="5" t="s">
        <v>8</v>
      </c>
      <c r="B2" s="5" t="s">
        <v>30</v>
      </c>
      <c r="C2" s="9">
        <v>45002</v>
      </c>
    </row>
    <row r="3" spans="1:3" x14ac:dyDescent="0.35">
      <c r="A3" s="1" t="s">
        <v>9</v>
      </c>
      <c r="B3" s="1" t="s">
        <v>31</v>
      </c>
      <c r="C3" s="2">
        <v>45002</v>
      </c>
    </row>
    <row r="4" spans="1:3" x14ac:dyDescent="0.35">
      <c r="A4" s="5" t="s">
        <v>7</v>
      </c>
      <c r="B4" s="5" t="s">
        <v>6</v>
      </c>
      <c r="C4" s="9">
        <v>45355</v>
      </c>
    </row>
    <row r="5" spans="1:3" x14ac:dyDescent="0.35">
      <c r="A5" s="1" t="s">
        <v>10</v>
      </c>
      <c r="B5" s="1" t="s">
        <v>32</v>
      </c>
      <c r="C5" s="2">
        <v>45355</v>
      </c>
    </row>
    <row r="6" spans="1:3" x14ac:dyDescent="0.35">
      <c r="A6" s="5" t="s">
        <v>11</v>
      </c>
      <c r="B6" s="5" t="s">
        <v>33</v>
      </c>
      <c r="C6" s="9">
        <v>45355</v>
      </c>
    </row>
    <row r="7" spans="1:3" x14ac:dyDescent="0.35">
      <c r="A7" s="1" t="s">
        <v>16</v>
      </c>
      <c r="B7" s="1" t="s">
        <v>38</v>
      </c>
      <c r="C7" s="2">
        <v>45355</v>
      </c>
    </row>
    <row r="8" spans="1:3" x14ac:dyDescent="0.35">
      <c r="A8" s="5" t="s">
        <v>17</v>
      </c>
      <c r="B8" s="5" t="s">
        <v>39</v>
      </c>
      <c r="C8" s="9">
        <v>45355</v>
      </c>
    </row>
    <row r="9" spans="1:3" x14ac:dyDescent="0.35">
      <c r="A9" s="1" t="s">
        <v>18</v>
      </c>
      <c r="B9" s="1" t="s">
        <v>40</v>
      </c>
      <c r="C9" s="2">
        <v>45355</v>
      </c>
    </row>
    <row r="10" spans="1:3" x14ac:dyDescent="0.35">
      <c r="A10" s="1" t="s">
        <v>20</v>
      </c>
      <c r="B10" s="1" t="s">
        <v>42</v>
      </c>
      <c r="C10" s="2">
        <v>45355</v>
      </c>
    </row>
    <row r="11" spans="1:3" x14ac:dyDescent="0.35">
      <c r="A11" s="5" t="s">
        <v>21</v>
      </c>
      <c r="B11" s="5" t="s">
        <v>43</v>
      </c>
      <c r="C11" s="9">
        <v>45355</v>
      </c>
    </row>
    <row r="12" spans="1:3" x14ac:dyDescent="0.35">
      <c r="A12" s="1" t="s">
        <v>24</v>
      </c>
      <c r="B12" s="1" t="s">
        <v>46</v>
      </c>
      <c r="C12" s="2">
        <v>45355</v>
      </c>
    </row>
    <row r="13" spans="1:3" x14ac:dyDescent="0.35">
      <c r="A13" s="5" t="s">
        <v>23</v>
      </c>
      <c r="B13" s="5" t="s">
        <v>45</v>
      </c>
      <c r="C13" s="9">
        <v>45701</v>
      </c>
    </row>
    <row r="14" spans="1:3" x14ac:dyDescent="0.35">
      <c r="A14" s="1" t="s">
        <v>12</v>
      </c>
      <c r="B14" s="1" t="s">
        <v>34</v>
      </c>
      <c r="C14" s="2">
        <v>45702</v>
      </c>
    </row>
    <row r="15" spans="1:3" x14ac:dyDescent="0.35">
      <c r="A15" s="1" t="s">
        <v>14</v>
      </c>
      <c r="B15" s="1" t="s">
        <v>36</v>
      </c>
      <c r="C15" s="2">
        <v>45702</v>
      </c>
    </row>
    <row r="16" spans="1:3" x14ac:dyDescent="0.35">
      <c r="A16" s="5" t="s">
        <v>15</v>
      </c>
      <c r="B16" s="5" t="s">
        <v>37</v>
      </c>
      <c r="C16" s="9">
        <v>45702</v>
      </c>
    </row>
    <row r="17" spans="1:3" x14ac:dyDescent="0.35">
      <c r="A17" s="5" t="s">
        <v>13</v>
      </c>
      <c r="B17" s="5" t="s">
        <v>35</v>
      </c>
      <c r="C17" s="9">
        <v>45705</v>
      </c>
    </row>
    <row r="18" spans="1:3" x14ac:dyDescent="0.35">
      <c r="A18" s="1" t="s">
        <v>22</v>
      </c>
      <c r="B18" s="1" t="s">
        <v>44</v>
      </c>
      <c r="C18" s="2">
        <v>45706</v>
      </c>
    </row>
    <row r="19" spans="1:3" x14ac:dyDescent="0.35">
      <c r="A19" s="5" t="s">
        <v>19</v>
      </c>
      <c r="B19" s="5" t="s">
        <v>41</v>
      </c>
      <c r="C19" s="9">
        <v>45806</v>
      </c>
    </row>
    <row r="20" spans="1:3" x14ac:dyDescent="0.35">
      <c r="A20" s="6" t="s">
        <v>25</v>
      </c>
      <c r="B20" s="6" t="s">
        <v>47</v>
      </c>
      <c r="C20" s="10">
        <v>46044</v>
      </c>
    </row>
    <row r="21" spans="1:3" x14ac:dyDescent="0.35">
      <c r="A21" s="7" t="s">
        <v>26</v>
      </c>
      <c r="B21" s="7" t="s">
        <v>48</v>
      </c>
      <c r="C21" s="11">
        <v>46044</v>
      </c>
    </row>
    <row r="22" spans="1:3" x14ac:dyDescent="0.35">
      <c r="A22" s="1" t="s">
        <v>28</v>
      </c>
      <c r="B22" s="1" t="s">
        <v>50</v>
      </c>
      <c r="C22" s="2">
        <v>46044</v>
      </c>
    </row>
    <row r="23" spans="1:3" x14ac:dyDescent="0.35">
      <c r="A23" s="6" t="s">
        <v>27</v>
      </c>
      <c r="B23" s="6" t="s">
        <v>49</v>
      </c>
      <c r="C23" s="10">
        <v>46048</v>
      </c>
    </row>
  </sheetData>
  <autoFilter ref="A1:C23" xr:uid="{393F381C-8CBF-446A-9253-195F23709E46}">
    <sortState xmlns:xlrd2="http://schemas.microsoft.com/office/spreadsheetml/2017/richdata2" ref="A2:C23">
      <sortCondition ref="C1:C23"/>
    </sortState>
  </autoFilter>
  <conditionalFormatting sqref="A2:A23">
    <cfRule type="containsText" dxfId="1" priority="1" stopIfTrue="1" operator="containsText" text="BTP">
      <formula>NOT(ISERROR(SEARCH("BTP",A2)))</formula>
    </cfRule>
    <cfRule type="expression" dxfId="0" priority="2" stopIfTrue="1">
      <formula>IF(AND(ISNUMBER(SEARCH("H2O", A2)), ISNUMBER(SEARCH("SP", A2))), 1,0)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2026-03-25T10:24:33Z</dcterms:modified>
</cp:coreProperties>
</file>