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1FDE203E-52F5-4669-B0CD-B1E848C3E33F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10" i="1"/>
  <c r="I14" i="1"/>
  <c r="I2" i="1"/>
  <c r="I3" i="1"/>
  <c r="I5" i="1"/>
  <c r="I7" i="1"/>
  <c r="I8" i="1"/>
  <c r="I9" i="1"/>
  <c r="I11" i="1"/>
  <c r="I12" i="1"/>
  <c r="I13" i="1"/>
  <c r="I15" i="1"/>
  <c r="I16" i="1"/>
  <c r="I17" i="1"/>
  <c r="I18" i="1"/>
  <c r="I19" i="1"/>
  <c r="I6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3EA6C4C-02C9-4399-B379-A03F8AF902E3}">
      <text>
        <r>
          <rPr>
            <sz val="9"/>
            <color indexed="81"/>
            <rFont val="Tahoma"/>
            <family val="2"/>
          </rPr>
          <t>=LET(
    Prezzo, [@[Prezzo Mercato]],
    Divisa, [@Divisa],
     IF(Divisa="EUR", Prezzo,
       LET(
          Data, STOCKHISTORY(Divisa &amp; "/EUR", TODAY()-15, TODAY(), 0, 0, 1),
          TassiValidi, FILTER(Data, ISNUMBER(Data)),
          UltimoTasso, TAKE(TassiValidi, -1),
          Prezzo * UltimoTasso
       )
    )
)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<sst xmlns="http://schemas.openxmlformats.org/spreadsheetml/2006/main" count="109" uniqueCount="56">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</sst>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;;\-"/>
    <numFmt numFmtId="165" formatCode="0.0000"/>
    <numFmt numFmtId="166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166" fontId="0" fillId="4" borderId="1" xfId="0" applyNumberForma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A2" sqref="A2:G19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13.6328125" style="3" customWidth="1"/>
    <col min="7" max="7" width="21.90625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5" t="s">
        <v>52</v>
      </c>
      <c r="B1" s="24" t="s">
        <v>1</v>
      </c>
      <c r="C1" s="25" t="s">
        <v>2</v>
      </c>
      <c r="D1" s="25" t="s">
        <v>3</v>
      </c>
      <c r="E1" s="25" t="s">
        <v>4</v>
      </c>
      <c r="F1" s="24" t="s">
        <v>53</v>
      </c>
      <c r="G1" s="24" t="s">
        <v>5</v>
      </c>
      <c r="I1" s="15">
        <f>SUM(I2:I19)</f>
        <v>488987.64777813404</v>
      </c>
      <c r="J1" s="14" t="s">
        <v>51</v>
      </c>
    </row>
    <row r="2" spans="1:12" x14ac:dyDescent="0.35">
      <c r="A2" s="16" t="s">
        <v>23</v>
      </c>
      <c r="B2" s="17" t="s">
        <v>45</v>
      </c>
      <c r="C2" s="18">
        <v>99.85</v>
      </c>
      <c r="D2" s="19" t="s">
        <v>54</v>
      </c>
      <c r="E2" s="20">
        <v>100</v>
      </c>
      <c r="F2" s="13">
        <v>46057</v>
      </c>
      <c r="G2" s="23">
        <v>100.77</v>
      </c>
      <c r="I2" s="21">
        <f t="shared" ref="I2:I19" si="0">+C2*G2</f>
        <v>10061.884499999998</v>
      </c>
    </row>
    <row r="3" spans="1:12" x14ac:dyDescent="0.35">
      <c r="A3" s="16" t="s">
        <v>25</v>
      </c>
      <c r="B3" s="17" t="s">
        <v>47</v>
      </c>
      <c r="C3" s="18">
        <v>155</v>
      </c>
      <c r="D3" s="19" t="s">
        <v>54</v>
      </c>
      <c r="E3" s="20">
        <v>94.621300000000005</v>
      </c>
      <c r="F3" s="13">
        <v>46057</v>
      </c>
      <c r="G3" s="23">
        <v>96.18</v>
      </c>
      <c r="I3" s="21">
        <f t="shared" si="0"/>
        <v>14907.900000000001</v>
      </c>
    </row>
    <row r="4" spans="1:12" x14ac:dyDescent="0.35">
      <c r="A4" s="16" t="s">
        <v>9</v>
      </c>
      <c r="B4" s="17" t="s">
        <v>31</v>
      </c>
      <c r="C4" s="18">
        <v>250</v>
      </c>
      <c r="D4" s="19" t="s">
        <v>54</v>
      </c>
      <c r="E4" s="20">
        <v>90.380700000000004</v>
      </c>
      <c r="F4" s="13">
        <v>46057</v>
      </c>
      <c r="G4" s="23">
        <v>98.9</v>
      </c>
      <c r="I4" s="21">
        <f t="shared" si="0"/>
        <v>24725</v>
      </c>
    </row>
    <row r="5" spans="1:12" x14ac:dyDescent="0.35">
      <c r="A5" s="16" t="s">
        <v>7</v>
      </c>
      <c r="B5" s="17" t="s">
        <v>6</v>
      </c>
      <c r="C5" s="18">
        <v>786.29</v>
      </c>
      <c r="D5" s="19" t="s">
        <v>54</v>
      </c>
      <c r="E5" s="20">
        <v>31.14</v>
      </c>
      <c r="F5" s="13">
        <v>46057</v>
      </c>
      <c r="G5" s="23">
        <v>33.56</v>
      </c>
      <c r="I5" s="21">
        <f t="shared" si="0"/>
        <v>26387.892400000001</v>
      </c>
      <c r="K5" s="21"/>
      <c r="L5" s="22"/>
    </row>
    <row r="6" spans="1:12" x14ac:dyDescent="0.35">
      <c r="A6" s="16" t="s">
        <v>12</v>
      </c>
      <c r="B6" s="17" t="s">
        <v>34</v>
      </c>
      <c r="C6" s="18">
        <v>570</v>
      </c>
      <c r="D6" s="19" t="s">
        <v>54</v>
      </c>
      <c r="E6" s="20">
        <v>8.8187999999999995</v>
      </c>
      <c r="F6" s="13">
        <v>46057</v>
      </c>
      <c r="G6" s="23">
        <v>9.2100000000000009</v>
      </c>
      <c r="I6" s="21">
        <f t="shared" si="0"/>
        <v>5249.7000000000007</v>
      </c>
      <c r="K6" s="21"/>
      <c r="L6" s="22"/>
    </row>
    <row r="7" spans="1:12" x14ac:dyDescent="0.35">
      <c r="A7" s="16" t="s">
        <v>26</v>
      </c>
      <c r="B7" s="17" t="s">
        <v>48</v>
      </c>
      <c r="C7" s="18">
        <v>237</v>
      </c>
      <c r="D7" s="19" t="s">
        <v>54</v>
      </c>
      <c r="E7" s="20">
        <v>42.381100000000004</v>
      </c>
      <c r="F7" s="13">
        <v>46057</v>
      </c>
      <c r="G7" s="23">
        <v>39.92</v>
      </c>
      <c r="I7" s="21">
        <f t="shared" si="0"/>
        <v>9461.0400000000009</v>
      </c>
      <c r="K7" s="21"/>
      <c r="L7" s="22"/>
    </row>
    <row r="8" spans="1:12" x14ac:dyDescent="0.35">
      <c r="A8" s="16" t="s">
        <v>10</v>
      </c>
      <c r="B8" s="17" t="s">
        <v>32</v>
      </c>
      <c r="C8" s="18">
        <v>808.88599999999997</v>
      </c>
      <c r="D8" s="19" t="s">
        <v>54</v>
      </c>
      <c r="E8" s="20">
        <v>79.260800000000003</v>
      </c>
      <c r="F8" s="13">
        <v>46057</v>
      </c>
      <c r="G8" s="23">
        <v>155.25</v>
      </c>
      <c r="I8" s="21">
        <f t="shared" si="0"/>
        <v>125579.5515</v>
      </c>
    </row>
    <row r="9" spans="1:12" x14ac:dyDescent="0.35">
      <c r="A9" s="16" t="s">
        <v>11</v>
      </c>
      <c r="B9" s="17" t="s">
        <v>33</v>
      </c>
      <c r="C9" s="18">
        <v>255.42699999999999</v>
      </c>
      <c r="D9" s="19" t="s">
        <v>54</v>
      </c>
      <c r="E9" s="20">
        <v>188.8296</v>
      </c>
      <c r="F9" s="13">
        <v>46057</v>
      </c>
      <c r="G9" s="23">
        <v>390.48</v>
      </c>
      <c r="I9" s="21">
        <f t="shared" si="0"/>
        <v>99739.134959999996</v>
      </c>
      <c r="K9" s="21"/>
    </row>
    <row r="10" spans="1:12" x14ac:dyDescent="0.35">
      <c r="A10" s="16" t="s">
        <v>13</v>
      </c>
      <c r="B10" s="17" t="s">
        <v>35</v>
      </c>
      <c r="C10" s="18">
        <v>47</v>
      </c>
      <c r="D10" s="19" t="s">
        <v>54</v>
      </c>
      <c r="E10" s="20">
        <v>108.09699999999999</v>
      </c>
      <c r="F10" s="13">
        <v>46057</v>
      </c>
      <c r="G10" s="23">
        <v>112.7</v>
      </c>
      <c r="I10" s="21">
        <f t="shared" si="0"/>
        <v>5296.9000000000005</v>
      </c>
    </row>
    <row r="11" spans="1:12" x14ac:dyDescent="0.35">
      <c r="A11" s="16" t="s">
        <v>14</v>
      </c>
      <c r="B11" s="17" t="s">
        <v>36</v>
      </c>
      <c r="C11" s="18">
        <v>945.54899999999998</v>
      </c>
      <c r="D11" s="19" t="s">
        <v>54</v>
      </c>
      <c r="E11" s="20">
        <v>16.910799999999998</v>
      </c>
      <c r="F11" s="13">
        <v>46057</v>
      </c>
      <c r="G11" s="23">
        <v>21.9147</v>
      </c>
      <c r="I11" s="21">
        <f t="shared" si="0"/>
        <v>20721.422670299999</v>
      </c>
    </row>
    <row r="12" spans="1:12" x14ac:dyDescent="0.35">
      <c r="A12" s="16" t="s">
        <v>16</v>
      </c>
      <c r="B12" s="17" t="s">
        <v>38</v>
      </c>
      <c r="C12" s="18">
        <v>104.37</v>
      </c>
      <c r="D12" s="19" t="s">
        <v>55</v>
      </c>
      <c r="E12" s="20">
        <v>183.25</v>
      </c>
      <c r="F12" s="13">
        <v>46057</v>
      </c>
      <c r="G12" s="23">
        <v>177.69655799999998</v>
      </c>
      <c r="I12" s="21">
        <f t="shared" si="0"/>
        <v>18546.189758459997</v>
      </c>
    </row>
    <row r="13" spans="1:12" x14ac:dyDescent="0.35">
      <c r="A13" s="16" t="s">
        <v>17</v>
      </c>
      <c r="B13" s="17" t="s">
        <v>39</v>
      </c>
      <c r="C13" s="18">
        <v>207.953</v>
      </c>
      <c r="D13" s="19" t="s">
        <v>55</v>
      </c>
      <c r="E13" s="20">
        <v>86.142099999999999</v>
      </c>
      <c r="F13" s="13">
        <v>46057</v>
      </c>
      <c r="G13" s="23">
        <v>133.657758</v>
      </c>
      <c r="I13" s="21">
        <f t="shared" si="0"/>
        <v>27794.531749374</v>
      </c>
    </row>
    <row r="14" spans="1:12" x14ac:dyDescent="0.35">
      <c r="A14" s="16" t="s">
        <v>18</v>
      </c>
      <c r="B14" s="17" t="s">
        <v>40</v>
      </c>
      <c r="C14" s="18">
        <v>448.18400000000003</v>
      </c>
      <c r="D14" s="19" t="s">
        <v>54</v>
      </c>
      <c r="E14" s="20">
        <v>24.51</v>
      </c>
      <c r="F14" s="13">
        <v>46057</v>
      </c>
      <c r="G14" s="23">
        <v>35.737900000000003</v>
      </c>
      <c r="I14" s="21">
        <f t="shared" si="0"/>
        <v>16017.154973600002</v>
      </c>
    </row>
    <row r="15" spans="1:12" x14ac:dyDescent="0.35">
      <c r="A15" s="16" t="s">
        <v>19</v>
      </c>
      <c r="B15" s="17" t="s">
        <v>41</v>
      </c>
      <c r="C15" s="18">
        <v>117.944</v>
      </c>
      <c r="D15" s="19" t="s">
        <v>54</v>
      </c>
      <c r="E15" s="20">
        <v>188.49709999999999</v>
      </c>
      <c r="F15" s="13">
        <v>46057</v>
      </c>
      <c r="G15" s="23">
        <v>210.9641</v>
      </c>
      <c r="I15" s="21">
        <f t="shared" si="0"/>
        <v>24881.949810400001</v>
      </c>
    </row>
    <row r="16" spans="1:12" x14ac:dyDescent="0.35">
      <c r="A16" s="16" t="s">
        <v>21</v>
      </c>
      <c r="B16" s="17" t="s">
        <v>43</v>
      </c>
      <c r="C16" s="18">
        <v>586.02</v>
      </c>
      <c r="D16" s="19" t="s">
        <v>54</v>
      </c>
      <c r="E16" s="20">
        <v>17.7333</v>
      </c>
      <c r="F16" s="13">
        <v>46057</v>
      </c>
      <c r="G16" s="23">
        <v>27.232800000000001</v>
      </c>
      <c r="I16" s="21">
        <f t="shared" si="0"/>
        <v>15958.965456</v>
      </c>
    </row>
    <row r="17" spans="1:9" x14ac:dyDescent="0.35">
      <c r="A17" s="16" t="s">
        <v>27</v>
      </c>
      <c r="B17" s="17" t="s">
        <v>49</v>
      </c>
      <c r="C17" s="18">
        <v>15</v>
      </c>
      <c r="D17" s="19" t="s">
        <v>54</v>
      </c>
      <c r="E17" s="20">
        <v>1009.4647</v>
      </c>
      <c r="F17" s="13">
        <v>46057</v>
      </c>
      <c r="G17" s="23">
        <v>1028</v>
      </c>
      <c r="I17" s="21">
        <f t="shared" si="0"/>
        <v>15420</v>
      </c>
    </row>
    <row r="18" spans="1:9" x14ac:dyDescent="0.35">
      <c r="A18" s="16" t="s">
        <v>28</v>
      </c>
      <c r="B18" s="17" t="s">
        <v>50</v>
      </c>
      <c r="C18" s="18">
        <v>205</v>
      </c>
      <c r="D18" s="19" t="s">
        <v>54</v>
      </c>
      <c r="E18" s="20">
        <v>97.022000000000006</v>
      </c>
      <c r="F18" s="13">
        <v>46057</v>
      </c>
      <c r="G18" s="23">
        <v>98.05</v>
      </c>
      <c r="I18" s="21">
        <f t="shared" si="0"/>
        <v>20100.25</v>
      </c>
    </row>
    <row r="19" spans="1:9" x14ac:dyDescent="0.35">
      <c r="A19" s="16" t="s">
        <v>22</v>
      </c>
      <c r="B19" s="17" t="s">
        <v>44</v>
      </c>
      <c r="C19" s="18">
        <v>86</v>
      </c>
      <c r="D19" s="19" t="s">
        <v>54</v>
      </c>
      <c r="E19" s="20">
        <v>93.194999999999993</v>
      </c>
      <c r="F19" s="13">
        <v>46057</v>
      </c>
      <c r="G19" s="23">
        <v>94.63</v>
      </c>
      <c r="I19" s="21">
        <f t="shared" si="0"/>
        <v>8138.1799999999994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2026-02-05T07:07:47Z</dcterms:modified>
</cp:coreProperties>
</file>