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13_ncr:1_{265D3A7A-4009-493A-A132-4E8FB07D1F08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  <sheet name="Sheet2" sheetId="2" r:id="rId2"/>
  </sheets>
  <definedNames>
    <definedName name="_xlnm._FilterDatabase" localSheetId="1" hidden="1">Sheet2!$A$1:$C$23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<sst xmlns="http://schemas.openxmlformats.org/spreadsheetml/2006/main" count="109" uniqueCount="56">
  <si>
    <t>Descrizione Titolo</t>
  </si>
  <si>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</si>
  <si>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</si>
  <si>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</si>
  <si>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</si>
  <si>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</si>
  <si>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</si>
  <si>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</si>
  <si>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 FEBBR 26 0.5%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</si>
  <si>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</si>
  <si>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</si>
  <si>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</si>
  <si>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</si>
  <si>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</si>
  <si>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</si>
  <si>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MEDIOBANCA AB N</t>
  </si>
  <si>
    <t>MSIF GL BRDS AC</t>
  </si>
  <si>
    <t>MSIF GL OPP AC</t>
  </si>
  <si>
    <t>N1 CLIM ENV EQ B EUR</t>
  </si>
  <si>
    <t>N1 EUR BANK D BP EUR</t>
  </si>
  <si>
    <t>Nordea 1 - Alpha 15 Ma Fund Bp Eur</t>
  </si>
  <si>
    <t>SISF ASIAN OP AC EUR</t>
  </si>
  <si>
    <t>XTRACKERS INFORM EUR</t>
  </si>
  <si>
    <t>AMUNDI ELTIF PIR AP</t>
  </si>
  <si>
    <t>BTP 2025/02/01 0,35%</t>
  </si>
  <si>
    <t>BSKT/BNPI 28</t>
  </si>
  <si>
    <t>GLB X SILV USD-A EUR</t>
  </si>
  <si>
    <t>VON EXPE28</t>
  </si>
  <si>
    <t>VON EXPE29</t>
  </si>
  <si>
    <t>Data acquisto</t>
  </si>
  <si>
    <t>IT0005419848</t>
  </si>
  <si>
    <t>IT0005484552</t>
  </si>
  <si>
    <t>FR0013393329</t>
  </si>
  <si>
    <t>FR0010923383</t>
  </si>
  <si>
    <t>IE00BYXVGZ48</t>
  </si>
  <si>
    <t>IE00B4L5Y983</t>
  </si>
  <si>
    <t>LU1670707527</t>
  </si>
  <si>
    <t>IT0005630253</t>
  </si>
  <si>
    <t>LU0119620416</t>
  </si>
  <si>
    <t>LU0552385295</t>
  </si>
  <si>
    <t>LU0348926287</t>
  </si>
  <si>
    <t>LU0772944145</t>
  </si>
  <si>
    <t>LU0607983896</t>
  </si>
  <si>
    <t>LU0248184466</t>
  </si>
  <si>
    <t>IE00BM67HT60</t>
  </si>
  <si>
    <t>LU2906336990</t>
  </si>
  <si>
    <t>IT0005386245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</si>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</sst>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3" xfId="0" applyFill="1" applyBorder="1"/>
    <xf numFmtId="0" fontId="0" fillId="0" borderId="3" xfId="0" applyBorder="1"/>
    <xf numFmtId="0" fontId="1" fillId="2" borderId="4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5" fillId="0" borderId="0" xfId="0" applyFont="1"/>
    <xf numFmtId="164" fontId="4" fillId="5" borderId="6" xfId="0" applyNumberFormat="1" applyFont="1" applyFill="1" applyBorder="1"/>
    <xf numFmtId="0" fontId="4" fillId="0" borderId="1" xfId="0" applyFont="1" applyBorder="1"/>
    <xf numFmtId="0" fontId="4" fillId="0" borderId="5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9" fontId="0" fillId="0" borderId="0" xfId="0" applyNumberFormat="1"/>
    <xf numFmtId="0" fontId="1" fillId="6" borderId="1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19"/>
  <sheetViews>
    <sheetView showGridLines="0" tabSelected="1" workbookViewId="0">
      <pane ySplit="1" topLeftCell="A2" activePane="bottomLeft" state="frozenSplit"/>
      <selection pane="bottomLeft" activeCell="K8" sqref="K8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3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24" t="s">
        <v>52</v>
      </c>
      <c r="B1" s="25" t="s">
        <v>1</v>
      </c>
      <c r="C1" s="24" t="s">
        <v>2</v>
      </c>
      <c r="D1" s="24" t="s">
        <v>3</v>
      </c>
      <c r="E1" s="24" t="s">
        <v>4</v>
      </c>
      <c r="F1" s="25" t="s">
        <v>53</v>
      </c>
      <c r="G1" s="25" t="s">
        <v>5</v>
      </c>
      <c r="I1" s="16">
        <f>SUM(I2:I19)</f>
        <v>460498.16000245401</v>
      </c>
      <c r="J1" s="15" t="s">
        <v>51</v>
      </c>
    </row>
    <row r="2" spans="1:12" x14ac:dyDescent="0.35">
      <c r="A2" s="17" t="s">
        <v>23</v>
      </c>
      <c r="B2" s="18" t="s">
        <v>45</v>
      </c>
      <c r="C2" s="19">
        <v>99.85</v>
      </c>
      <c r="D2" s="20" t="s">
        <v>54</v>
      </c>
      <c r="E2" s="21">
        <v>100</v>
      </c>
      <c r="F2" s="26">
        <v>46091</v>
      </c>
      <c r="G2" s="13">
        <v>100.77</v>
      </c>
      <c r="I2" s="22">
        <f>+C2*G2</f>
        <v>10061.884499999998</v>
      </c>
    </row>
    <row r="3" spans="1:12" x14ac:dyDescent="0.35">
      <c r="A3" s="17" t="s">
        <v>25</v>
      </c>
      <c r="B3" s="18" t="s">
        <v>47</v>
      </c>
      <c r="C3" s="19">
        <v>155</v>
      </c>
      <c r="D3" s="20" t="s">
        <v>54</v>
      </c>
      <c r="E3" s="21">
        <v>94.621300000000005</v>
      </c>
      <c r="F3" s="14">
        <f>+F2</f>
        <v>46091</v>
      </c>
      <c r="G3" s="13">
        <v>78.790000000000006</v>
      </c>
      <c r="I3" s="22">
        <f t="shared" ref="I3:I19" si="0">+C3*G3</f>
        <v>12212.45</v>
      </c>
    </row>
    <row r="4" spans="1:12" x14ac:dyDescent="0.35">
      <c r="A4" s="17" t="s">
        <v>9</v>
      </c>
      <c r="B4" s="18" t="s">
        <v>31</v>
      </c>
      <c r="C4" s="19">
        <v>250</v>
      </c>
      <c r="D4" s="20" t="s">
        <v>54</v>
      </c>
      <c r="E4" s="21">
        <v>90.380700000000004</v>
      </c>
      <c r="F4" s="14">
        <f t="shared" ref="F4:F19" si="1">+F3</f>
        <v>46091</v>
      </c>
      <c r="G4" s="13">
        <v>98.73</v>
      </c>
      <c r="I4" s="22">
        <f t="shared" si="0"/>
        <v>24682.5</v>
      </c>
    </row>
    <row r="5" spans="1:12" x14ac:dyDescent="0.35">
      <c r="A5" s="17" t="s">
        <v>7</v>
      </c>
      <c r="B5" s="18" t="s">
        <v>6</v>
      </c>
      <c r="C5" s="19">
        <v>786.29</v>
      </c>
      <c r="D5" s="20" t="s">
        <v>54</v>
      </c>
      <c r="E5" s="21">
        <v>31.14</v>
      </c>
      <c r="F5" s="14">
        <f t="shared" si="1"/>
        <v>46091</v>
      </c>
      <c r="G5" s="13">
        <v>32.909999999999997</v>
      </c>
      <c r="I5" s="22">
        <f t="shared" si="0"/>
        <v>25876.803899999995</v>
      </c>
      <c r="K5" s="22"/>
      <c r="L5" s="23"/>
    </row>
    <row r="6" spans="1:12" x14ac:dyDescent="0.35">
      <c r="A6" s="17" t="s">
        <v>12</v>
      </c>
      <c r="B6" s="18" t="s">
        <v>34</v>
      </c>
      <c r="C6" s="19">
        <v>570</v>
      </c>
      <c r="D6" s="20" t="s">
        <v>54</v>
      </c>
      <c r="E6" s="21">
        <v>8.8187999999999995</v>
      </c>
      <c r="F6" s="14">
        <f t="shared" si="1"/>
        <v>46091</v>
      </c>
      <c r="G6" s="13">
        <v>9.1289999999999996</v>
      </c>
      <c r="I6" s="22">
        <f t="shared" si="0"/>
        <v>5203.53</v>
      </c>
      <c r="K6" s="22"/>
      <c r="L6" s="23"/>
    </row>
    <row r="7" spans="1:12" x14ac:dyDescent="0.35">
      <c r="A7" s="17" t="s">
        <v>26</v>
      </c>
      <c r="B7" s="18" t="s">
        <v>48</v>
      </c>
      <c r="C7" s="19">
        <v>237</v>
      </c>
      <c r="D7" s="20" t="s">
        <v>54</v>
      </c>
      <c r="E7" s="21">
        <v>42.381100000000004</v>
      </c>
      <c r="F7" s="14">
        <f t="shared" si="1"/>
        <v>46091</v>
      </c>
      <c r="G7" s="13">
        <v>40.765000000000001</v>
      </c>
      <c r="I7" s="22">
        <f t="shared" si="0"/>
        <v>9661.3050000000003</v>
      </c>
      <c r="K7" s="22"/>
      <c r="L7" s="23"/>
    </row>
    <row r="8" spans="1:12" x14ac:dyDescent="0.35">
      <c r="A8" s="17" t="s">
        <v>10</v>
      </c>
      <c r="B8" s="18" t="s">
        <v>32</v>
      </c>
      <c r="C8" s="19">
        <v>808.88599999999997</v>
      </c>
      <c r="D8" s="20" t="s">
        <v>54</v>
      </c>
      <c r="E8" s="21">
        <v>79.260800000000003</v>
      </c>
      <c r="F8" s="14">
        <f t="shared" si="1"/>
        <v>46091</v>
      </c>
      <c r="G8" s="13">
        <v>145.06</v>
      </c>
      <c r="I8" s="22">
        <f t="shared" si="0"/>
        <v>117337.00315999999</v>
      </c>
    </row>
    <row r="9" spans="1:12" x14ac:dyDescent="0.35">
      <c r="A9" s="17" t="s">
        <v>11</v>
      </c>
      <c r="B9" s="18" t="s">
        <v>33</v>
      </c>
      <c r="C9" s="19">
        <v>255.42699999999999</v>
      </c>
      <c r="D9" s="20" t="s">
        <v>54</v>
      </c>
      <c r="E9" s="21">
        <v>188.8296</v>
      </c>
      <c r="F9" s="14">
        <f t="shared" si="1"/>
        <v>46091</v>
      </c>
      <c r="G9" s="13">
        <v>359.02</v>
      </c>
      <c r="I9" s="22">
        <f t="shared" si="0"/>
        <v>91703.401539999992</v>
      </c>
      <c r="K9" s="22"/>
    </row>
    <row r="10" spans="1:12" x14ac:dyDescent="0.35">
      <c r="A10" s="17" t="s">
        <v>13</v>
      </c>
      <c r="B10" s="18" t="s">
        <v>35</v>
      </c>
      <c r="C10" s="19">
        <v>47</v>
      </c>
      <c r="D10" s="20" t="s">
        <v>54</v>
      </c>
      <c r="E10" s="21">
        <v>108.09699999999999</v>
      </c>
      <c r="F10" s="14">
        <f t="shared" si="1"/>
        <v>46091</v>
      </c>
      <c r="G10" s="13">
        <v>111.52</v>
      </c>
      <c r="I10" s="22">
        <f t="shared" si="0"/>
        <v>5241.4399999999996</v>
      </c>
    </row>
    <row r="11" spans="1:12" x14ac:dyDescent="0.35">
      <c r="A11" s="17" t="s">
        <v>14</v>
      </c>
      <c r="B11" s="18" t="s">
        <v>36</v>
      </c>
      <c r="C11" s="19">
        <v>945.54899999999998</v>
      </c>
      <c r="D11" s="20" t="s">
        <v>54</v>
      </c>
      <c r="E11" s="21">
        <v>16.910799999999998</v>
      </c>
      <c r="F11" s="14">
        <f t="shared" si="1"/>
        <v>46091</v>
      </c>
      <c r="G11" s="13">
        <v>20.543299999999999</v>
      </c>
      <c r="I11" s="22">
        <f t="shared" si="0"/>
        <v>19424.696771699997</v>
      </c>
    </row>
    <row r="12" spans="1:12" x14ac:dyDescent="0.35">
      <c r="A12" s="17" t="s">
        <v>16</v>
      </c>
      <c r="B12" s="18" t="s">
        <v>38</v>
      </c>
      <c r="C12" s="19">
        <v>104.37</v>
      </c>
      <c r="D12" s="20" t="s">
        <v>55</v>
      </c>
      <c r="E12" s="21">
        <v>183.25</v>
      </c>
      <c r="F12" s="14">
        <f t="shared" si="1"/>
        <v>46091</v>
      </c>
      <c r="G12" s="13">
        <v>174.82458499999998</v>
      </c>
      <c r="I12" s="22">
        <f t="shared" si="0"/>
        <v>18246.441936449999</v>
      </c>
    </row>
    <row r="13" spans="1:12" x14ac:dyDescent="0.35">
      <c r="A13" s="17" t="s">
        <v>17</v>
      </c>
      <c r="B13" s="18" t="s">
        <v>39</v>
      </c>
      <c r="C13" s="19">
        <v>207.953</v>
      </c>
      <c r="D13" s="20" t="s">
        <v>55</v>
      </c>
      <c r="E13" s="21">
        <v>86.142099999999999</v>
      </c>
      <c r="F13" s="14">
        <f t="shared" si="1"/>
        <v>46091</v>
      </c>
      <c r="G13" s="13">
        <v>128.68876799999998</v>
      </c>
      <c r="I13" s="22">
        <f t="shared" si="0"/>
        <v>26761.215371903996</v>
      </c>
    </row>
    <row r="14" spans="1:12" x14ac:dyDescent="0.35">
      <c r="A14" s="17" t="s">
        <v>18</v>
      </c>
      <c r="B14" s="18" t="s">
        <v>40</v>
      </c>
      <c r="C14" s="19">
        <v>448.18400000000003</v>
      </c>
      <c r="D14" s="20" t="s">
        <v>54</v>
      </c>
      <c r="E14" s="21">
        <v>24.51</v>
      </c>
      <c r="F14" s="14">
        <f t="shared" si="1"/>
        <v>46091</v>
      </c>
      <c r="G14" s="13">
        <v>35.8979</v>
      </c>
      <c r="I14" s="22">
        <f t="shared" si="0"/>
        <v>16088.8644136</v>
      </c>
    </row>
    <row r="15" spans="1:12" x14ac:dyDescent="0.35">
      <c r="A15" s="17" t="s">
        <v>19</v>
      </c>
      <c r="B15" s="18" t="s">
        <v>41</v>
      </c>
      <c r="C15" s="19">
        <v>117.944</v>
      </c>
      <c r="D15" s="20" t="s">
        <v>54</v>
      </c>
      <c r="E15" s="21">
        <v>188.49709999999999</v>
      </c>
      <c r="F15" s="14">
        <f t="shared" si="1"/>
        <v>46091</v>
      </c>
      <c r="G15" s="13">
        <v>209.6097</v>
      </c>
      <c r="I15" s="22">
        <f t="shared" si="0"/>
        <v>24722.206456800002</v>
      </c>
    </row>
    <row r="16" spans="1:12" x14ac:dyDescent="0.35">
      <c r="A16" s="17" t="s">
        <v>21</v>
      </c>
      <c r="B16" s="18" t="s">
        <v>43</v>
      </c>
      <c r="C16" s="19">
        <v>586.02</v>
      </c>
      <c r="D16" s="20" t="s">
        <v>54</v>
      </c>
      <c r="E16" s="21">
        <v>17.7333</v>
      </c>
      <c r="F16" s="14">
        <f t="shared" si="1"/>
        <v>46091</v>
      </c>
      <c r="G16" s="13">
        <v>26.6676</v>
      </c>
      <c r="I16" s="22">
        <f t="shared" si="0"/>
        <v>15627.746952</v>
      </c>
    </row>
    <row r="17" spans="1:9" x14ac:dyDescent="0.35">
      <c r="A17" s="17" t="s">
        <v>27</v>
      </c>
      <c r="B17" s="18" t="s">
        <v>49</v>
      </c>
      <c r="C17" s="19">
        <v>15</v>
      </c>
      <c r="D17" s="20" t="s">
        <v>54</v>
      </c>
      <c r="E17" s="21">
        <v>1009.4647</v>
      </c>
      <c r="F17" s="14">
        <f t="shared" si="1"/>
        <v>46091</v>
      </c>
      <c r="G17" s="13">
        <v>925.49</v>
      </c>
      <c r="I17" s="22">
        <f t="shared" si="0"/>
        <v>13882.35</v>
      </c>
    </row>
    <row r="18" spans="1:9" x14ac:dyDescent="0.35">
      <c r="A18" s="17" t="s">
        <v>28</v>
      </c>
      <c r="B18" s="18" t="s">
        <v>50</v>
      </c>
      <c r="C18" s="19">
        <v>205</v>
      </c>
      <c r="D18" s="20" t="s">
        <v>54</v>
      </c>
      <c r="E18" s="21">
        <v>97.022000000000006</v>
      </c>
      <c r="F18" s="14">
        <f t="shared" si="1"/>
        <v>46091</v>
      </c>
      <c r="G18" s="13">
        <v>75.599999999999994</v>
      </c>
      <c r="I18" s="22">
        <f t="shared" si="0"/>
        <v>15497.999999999998</v>
      </c>
    </row>
    <row r="19" spans="1:9" x14ac:dyDescent="0.35">
      <c r="A19" s="17" t="s">
        <v>22</v>
      </c>
      <c r="B19" s="18" t="s">
        <v>44</v>
      </c>
      <c r="C19" s="19">
        <v>86</v>
      </c>
      <c r="D19" s="20" t="s">
        <v>54</v>
      </c>
      <c r="E19" s="21">
        <v>93.194999999999993</v>
      </c>
      <c r="F19" s="14">
        <f t="shared" si="1"/>
        <v>46091</v>
      </c>
      <c r="G19" s="13">
        <v>96.12</v>
      </c>
      <c r="I19" s="22">
        <f t="shared" si="0"/>
        <v>8266.32</v>
      </c>
    </row>
  </sheetData>
  <conditionalFormatting sqref="A2:A19">
    <cfRule type="expression" dxfId="5" priority="3" stopIfTrue="1">
      <formula>IF(AND(ISNUMBER(SEARCH("H2O", A2)), ISNUMBER(SEARCH("SP", A2))), 1,0)</formula>
    </cfRule>
    <cfRule type="containsText" dxfId="4" priority="4" stopIfTrue="1" operator="containsText" text="BTP">
      <formula>NOT(ISERROR(SEARCH("BTP",A2)))</formula>
    </cfRule>
  </conditionalFormatting>
  <conditionalFormatting sqref="D2:D19">
    <cfRule type="notContainsText" dxfId="3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381C-8CBF-446A-9253-195F23709E46}">
  <sheetPr codeName="Sheet2"/>
  <dimension ref="A1:C23"/>
  <sheetViews>
    <sheetView workbookViewId="0">
      <selection activeCell="A2" sqref="A2"/>
    </sheetView>
  </sheetViews>
  <sheetFormatPr defaultRowHeight="14.5" x14ac:dyDescent="0.35"/>
  <cols>
    <col min="1" max="1" width="28.36328125" bestFit="1" customWidth="1"/>
    <col min="2" max="2" width="28.36328125" customWidth="1"/>
    <col min="3" max="3" width="19.36328125" bestFit="1" customWidth="1"/>
  </cols>
  <sheetData>
    <row r="1" spans="1:3" ht="15" thickBot="1" x14ac:dyDescent="0.4">
      <c r="A1" s="4" t="s">
        <v>0</v>
      </c>
      <c r="B1" s="12" t="s">
        <v>1</v>
      </c>
      <c r="C1" s="8" t="s">
        <v>29</v>
      </c>
    </row>
    <row r="2" spans="1:3" x14ac:dyDescent="0.35">
      <c r="A2" s="5" t="s">
        <v>8</v>
      </c>
      <c r="B2" s="5" t="s">
        <v>30</v>
      </c>
      <c r="C2" s="9">
        <v>45002</v>
      </c>
    </row>
    <row r="3" spans="1:3" x14ac:dyDescent="0.35">
      <c r="A3" s="1" t="s">
        <v>9</v>
      </c>
      <c r="B3" s="1" t="s">
        <v>31</v>
      </c>
      <c r="C3" s="2">
        <v>45002</v>
      </c>
    </row>
    <row r="4" spans="1:3" x14ac:dyDescent="0.35">
      <c r="A4" s="5" t="s">
        <v>7</v>
      </c>
      <c r="B4" s="5" t="s">
        <v>6</v>
      </c>
      <c r="C4" s="9">
        <v>45355</v>
      </c>
    </row>
    <row r="5" spans="1:3" x14ac:dyDescent="0.35">
      <c r="A5" s="1" t="s">
        <v>10</v>
      </c>
      <c r="B5" s="1" t="s">
        <v>32</v>
      </c>
      <c r="C5" s="2">
        <v>45355</v>
      </c>
    </row>
    <row r="6" spans="1:3" x14ac:dyDescent="0.35">
      <c r="A6" s="5" t="s">
        <v>11</v>
      </c>
      <c r="B6" s="5" t="s">
        <v>33</v>
      </c>
      <c r="C6" s="9">
        <v>45355</v>
      </c>
    </row>
    <row r="7" spans="1:3" x14ac:dyDescent="0.35">
      <c r="A7" s="1" t="s">
        <v>16</v>
      </c>
      <c r="B7" s="1" t="s">
        <v>38</v>
      </c>
      <c r="C7" s="2">
        <v>45355</v>
      </c>
    </row>
    <row r="8" spans="1:3" x14ac:dyDescent="0.35">
      <c r="A8" s="5" t="s">
        <v>17</v>
      </c>
      <c r="B8" s="5" t="s">
        <v>39</v>
      </c>
      <c r="C8" s="9">
        <v>45355</v>
      </c>
    </row>
    <row r="9" spans="1:3" x14ac:dyDescent="0.35">
      <c r="A9" s="1" t="s">
        <v>18</v>
      </c>
      <c r="B9" s="1" t="s">
        <v>40</v>
      </c>
      <c r="C9" s="2">
        <v>45355</v>
      </c>
    </row>
    <row r="10" spans="1:3" x14ac:dyDescent="0.35">
      <c r="A10" s="1" t="s">
        <v>20</v>
      </c>
      <c r="B10" s="1" t="s">
        <v>42</v>
      </c>
      <c r="C10" s="2">
        <v>45355</v>
      </c>
    </row>
    <row r="11" spans="1:3" x14ac:dyDescent="0.35">
      <c r="A11" s="5" t="s">
        <v>21</v>
      </c>
      <c r="B11" s="5" t="s">
        <v>43</v>
      </c>
      <c r="C11" s="9">
        <v>45355</v>
      </c>
    </row>
    <row r="12" spans="1:3" x14ac:dyDescent="0.35">
      <c r="A12" s="1" t="s">
        <v>24</v>
      </c>
      <c r="B12" s="1" t="s">
        <v>46</v>
      </c>
      <c r="C12" s="2">
        <v>45355</v>
      </c>
    </row>
    <row r="13" spans="1:3" x14ac:dyDescent="0.35">
      <c r="A13" s="5" t="s">
        <v>23</v>
      </c>
      <c r="B13" s="5" t="s">
        <v>45</v>
      </c>
      <c r="C13" s="9">
        <v>45701</v>
      </c>
    </row>
    <row r="14" spans="1:3" x14ac:dyDescent="0.35">
      <c r="A14" s="1" t="s">
        <v>12</v>
      </c>
      <c r="B14" s="1" t="s">
        <v>34</v>
      </c>
      <c r="C14" s="2">
        <v>45702</v>
      </c>
    </row>
    <row r="15" spans="1:3" x14ac:dyDescent="0.35">
      <c r="A15" s="1" t="s">
        <v>14</v>
      </c>
      <c r="B15" s="1" t="s">
        <v>36</v>
      </c>
      <c r="C15" s="2">
        <v>45702</v>
      </c>
    </row>
    <row r="16" spans="1:3" x14ac:dyDescent="0.35">
      <c r="A16" s="5" t="s">
        <v>15</v>
      </c>
      <c r="B16" s="5" t="s">
        <v>37</v>
      </c>
      <c r="C16" s="9">
        <v>45702</v>
      </c>
    </row>
    <row r="17" spans="1:3" x14ac:dyDescent="0.35">
      <c r="A17" s="5" t="s">
        <v>13</v>
      </c>
      <c r="B17" s="5" t="s">
        <v>35</v>
      </c>
      <c r="C17" s="9">
        <v>45705</v>
      </c>
    </row>
    <row r="18" spans="1:3" x14ac:dyDescent="0.35">
      <c r="A18" s="1" t="s">
        <v>22</v>
      </c>
      <c r="B18" s="1" t="s">
        <v>44</v>
      </c>
      <c r="C18" s="2">
        <v>45706</v>
      </c>
    </row>
    <row r="19" spans="1:3" x14ac:dyDescent="0.35">
      <c r="A19" s="5" t="s">
        <v>19</v>
      </c>
      <c r="B19" s="5" t="s">
        <v>41</v>
      </c>
      <c r="C19" s="9">
        <v>45806</v>
      </c>
    </row>
    <row r="20" spans="1:3" x14ac:dyDescent="0.35">
      <c r="A20" s="6" t="s">
        <v>25</v>
      </c>
      <c r="B20" s="6" t="s">
        <v>47</v>
      </c>
      <c r="C20" s="10">
        <v>46044</v>
      </c>
    </row>
    <row r="21" spans="1:3" x14ac:dyDescent="0.35">
      <c r="A21" s="7" t="s">
        <v>26</v>
      </c>
      <c r="B21" s="7" t="s">
        <v>48</v>
      </c>
      <c r="C21" s="11">
        <v>46044</v>
      </c>
    </row>
    <row r="22" spans="1:3" x14ac:dyDescent="0.35">
      <c r="A22" s="1" t="s">
        <v>28</v>
      </c>
      <c r="B22" s="1" t="s">
        <v>50</v>
      </c>
      <c r="C22" s="2">
        <v>46044</v>
      </c>
    </row>
    <row r="23" spans="1:3" x14ac:dyDescent="0.35">
      <c r="A23" s="6" t="s">
        <v>27</v>
      </c>
      <c r="B23" s="6" t="s">
        <v>49</v>
      </c>
      <c r="C23" s="10">
        <v>46048</v>
      </c>
    </row>
  </sheetData>
  <autoFilter ref="A1:C23" xr:uid="{393F381C-8CBF-446A-9253-195F23709E46}">
    <sortState xmlns:xlrd2="http://schemas.microsoft.com/office/spreadsheetml/2017/richdata2" ref="A2:C23">
      <sortCondition ref="C1:C23"/>
    </sortState>
  </autoFilter>
  <conditionalFormatting sqref="A2:A23">
    <cfRule type="containsText" dxfId="1" priority="1" stopIfTrue="1" operator="containsText" text="BTP">
      <formula>NOT(ISERROR(SEARCH("BTP",A2)))</formula>
    </cfRule>
    <cfRule type="expression" dxfId="0" priority="2" stopIfTrue="1">
      <formula>IF(AND(ISNUMBER(SEARCH("H2O", A2)), ISNUMBER(SEARCH("SP", A2))), 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2026-03-10T08:49:12Z</dcterms:modified>
</cp:coreProperties>
</file>