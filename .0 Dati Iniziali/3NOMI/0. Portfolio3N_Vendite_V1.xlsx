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25576155-017E-44C7-A5C5-86C6CFAC83E9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I14" i="1"/>
  <c r="I4" i="1"/>
  <c r="I12" i="1"/>
  <c r="I7" i="1"/>
  <c r="I5" i="1"/>
  <c r="I3" i="1"/>
  <c r="I9" i="1"/>
  <c r="I8" i="1"/>
  <c r="I11" i="1"/>
  <c r="I10" i="1"/>
  <c r="I13" i="1"/>
  <c r="I2" i="1"/>
</calcChain>
</file>

<file path=xl/sharedStrings.xml><?xml version="1.0" encoding="utf-8"?>
<sst xmlns="http://schemas.openxmlformats.org/spreadsheetml/2006/main" count="75" uniqueCount="36">
  <si>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</si>
  <si>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</si>
  <si>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</si>
  <si>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</si>
  <si>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</si>
  <si>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</si>
  <si>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</si>
  <si>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Controvalore (EUR)</t>
  </si>
  <si>
    <t>Fondo Obbligazionario</t>
  </si>
  <si>
    <t>Tipologia</t>
  </si>
  <si>
    <t>Descrizione Asset</t>
  </si>
  <si>
    <t>Note</t>
  </si>
  <si>
    <t>ANIMA TRICOL A</t>
  </si>
  <si>
    <t>IT0005186082</t>
  </si>
  <si>
    <t>Vendita</t>
  </si>
  <si>
    <t>IT0005597999</t>
  </si>
  <si>
    <t>BSKT/MEDI 28</t>
  </si>
  <si>
    <t>Certificato</t>
  </si>
  <si>
    <t>LU1960246384</t>
  </si>
  <si>
    <t>RAM SYS GL M.ASS XN</t>
  </si>
  <si>
    <t>LU1252824740</t>
  </si>
  <si>
    <t>INV IND BD AFMD</t>
  </si>
  <si>
    <t>IT0005512931</t>
  </si>
  <si>
    <t>MB 14NOV25 TF</t>
  </si>
  <si>
    <t>IT0005630253</t>
  </si>
  <si>
    <t>MEDIOBANCA AB N</t>
  </si>
  <si>
    <t>LU0119620507</t>
  </si>
  <si>
    <t>MSIF Global Brands B EUR</t>
  </si>
  <si>
    <t>Fondo Azionario</t>
  </si>
  <si>
    <t>IT0005514267</t>
  </si>
  <si>
    <t>BSKT/MEDI 25</t>
  </si>
  <si>
    <t>NLBNPIT2CPZ0</t>
  </si>
  <si>
    <t>BPA CC E28</t>
  </si>
  <si>
    <t>DE000VG2U9L9</t>
  </si>
  <si>
    <t>VON EXPE27</t>
  </si>
  <si>
    <t xml:space="preserve">DE000VG7YZL5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</si>
</sst>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gray0625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4" fontId="0" fillId="0" borderId="1" xfId="0" applyNumberFormat="1" applyBorder="1"/>
    <xf numFmtId="14" fontId="0" fillId="0" borderId="1" xfId="0" applyNumberFormat="1" applyBorder="1" applyAlignment="1">
      <alignment horizontal="center"/>
    </xf>
    <xf numFmtId="2" fontId="2" fillId="4" borderId="1" xfId="0" applyNumberFormat="1" applyFont="1" applyFill="1" applyBorder="1" applyAlignment="1">
      <alignment vertical="center"/>
    </xf>
    <xf numFmtId="4" fontId="0" fillId="0" borderId="4" xfId="0" applyNumberFormat="1" applyBorder="1"/>
    <xf numFmtId="14" fontId="0" fillId="0" borderId="4" xfId="0" applyNumberFormat="1" applyBorder="1" applyAlignment="1">
      <alignment horizontal="center"/>
    </xf>
    <xf numFmtId="2" fontId="3" fillId="0" borderId="4" xfId="0" applyNumberFormat="1" applyFont="1" applyBorder="1" applyAlignment="1">
      <alignment vertical="center"/>
    </xf>
    <xf numFmtId="0" fontId="0" fillId="0" borderId="3" xfId="0" applyBorder="1"/>
    <xf numFmtId="2" fontId="3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/>
    <xf numFmtId="2" fontId="2" fillId="0" borderId="4" xfId="0" applyNumberFormat="1" applyFont="1" applyBorder="1" applyAlignment="1">
      <alignment vertical="center"/>
    </xf>
  </cellXfs>
  <cellStyles count="1">
    <cellStyle name="Normal" xfId="0" builtinId="0"/>
  </cellStyles>
  <dxfs count="64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EB8953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3" tint="0.89996032593768116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14" totalsRowShown="0" headerRowDxfId="63" dataDxfId="62" tableBorderDxfId="61">
  <autoFilter ref="A1:J14" xr:uid="{04F4BF02-F5A0-427F-92C4-A60283CF04F1}"/>
  <sortState xmlns:xlrd2="http://schemas.microsoft.com/office/spreadsheetml/2017/richdata2" ref="A2:J14">
    <sortCondition ref="D1:D14"/>
  </sortState>
  <tableColumns count="10">
    <tableColumn id="2" xr3:uid="{C4CDF0AD-2602-44A7-AA26-292542A274A0}" name="ISIN" dataDxfId="60"/>
    <tableColumn id="1" xr3:uid="{B8061C36-8993-4203-ABD6-C7BF7558D40C}" name="Descrizione Asset" dataDxfId="59"/>
    <tableColumn id="3" xr3:uid="{0A18EC50-C250-41F4-83C1-E84B3FDD76A5}" name="Quantità" dataDxfId="58"/>
    <tableColumn id="6" xr3:uid="{1CC3BD49-EF04-4684-84DC-5AB42F08A1CD}" name="Data (acquisto/vendita)" dataDxfId="57"/>
    <tableColumn id="8" xr3:uid="{8C52C664-8EA8-4E89-892F-C9CCC6BB2E54}" name="Prezzo Operazione (EUR)" dataDxfId="56"/>
    <tableColumn id="11" xr3:uid="{8B0704F8-8C2E-42BE-A30C-03EF7C2730A1}" name="Tipologia" dataDxfId="55"/>
    <tableColumn id="7" xr3:uid="{0B72A75D-196B-42C0-9E49-163198DF8CDB}" name="Operazione" dataDxfId="54"/>
    <tableColumn id="4" xr3:uid="{F21CA34D-52E3-4C7A-A959-24C01F694687}" name="Divisa" dataDxfId="53"/>
    <tableColumn id="10" xr3:uid="{7F8241B6-2FCB-4564-8F24-4D4146A82E8B}" name="Controvalore (EUR)" dataDxfId="52">
      <calculatedColumnFormula>+Table1[[#This Row],[Quantità]]*Table1[[#This Row],[Prezzo Operazione (EUR)]]</calculatedColumnFormula>
    </tableColumn>
    <tableColumn id="5" xr3:uid="{4BB24666-6DBD-4CCB-B492-4786A2A04F01}" name="Note" dataDxfId="5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J14"/>
  <sheetViews>
    <sheetView showGridLines="0" tabSelected="1" zoomScaleNormal="100" workbookViewId="0">
      <selection activeCell="N11" sqref="N11"/>
    </sheetView>
  </sheetViews>
  <sheetFormatPr defaultRowHeight="14.5" x14ac:dyDescent="0.35"/>
  <cols>
    <col min="1" max="1" width="15.81640625" customWidth="1"/>
    <col min="2" max="2" width="29.453125" bestFit="1" customWidth="1"/>
    <col min="3" max="3" width="12.54296875" bestFit="1" customWidth="1"/>
    <col min="4" max="4" width="25.7265625" customWidth="1"/>
    <col min="5" max="5" width="23" bestFit="1" customWidth="1"/>
    <col min="6" max="6" width="21.453125" bestFit="1" customWidth="1"/>
    <col min="7" max="7" width="15.81640625" bestFit="1" customWidth="1"/>
    <col min="8" max="8" width="10.54296875" bestFit="1" customWidth="1"/>
    <col min="9" max="9" width="21.26953125" bestFit="1" customWidth="1"/>
    <col min="10" max="10" width="28.1796875" customWidth="1"/>
    <col min="12" max="12" width="19.816406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0" x14ac:dyDescent="0.35">
      <c r="A1" s="5" t="s">
        <v>0</v>
      </c>
      <c r="B1" s="6" t="s">
        <v>10</v>
      </c>
      <c r="C1" s="5" t="s">
        <v>1</v>
      </c>
      <c r="D1" s="6" t="s">
        <v>3</v>
      </c>
      <c r="E1" s="6" t="s">
        <v>6</v>
      </c>
      <c r="F1" s="6" t="s">
        <v>9</v>
      </c>
      <c r="G1" s="6" t="s">
        <v>4</v>
      </c>
      <c r="H1" s="4" t="s">
        <v>2</v>
      </c>
      <c r="I1" s="4" t="s">
        <v>7</v>
      </c>
      <c r="J1" s="4" t="s">
        <v>11</v>
      </c>
    </row>
    <row r="2" spans="1:10" x14ac:dyDescent="0.35">
      <c r="A2" s="15" t="s">
        <v>13</v>
      </c>
      <c r="B2" s="19" t="s">
        <v>12</v>
      </c>
      <c r="C2" s="9">
        <v>1679.65</v>
      </c>
      <c r="D2" s="10">
        <v>45693</v>
      </c>
      <c r="E2" s="9">
        <v>6.62</v>
      </c>
      <c r="F2" s="3" t="s">
        <v>8</v>
      </c>
      <c r="G2" s="1" t="s">
        <v>14</v>
      </c>
      <c r="H2" s="2" t="s">
        <v>5</v>
      </c>
      <c r="I2" s="7">
        <f>+Table1[[#This Row],[Quantità]]*Table1[[#This Row],[Prezzo Operazione (EUR)]]</f>
        <v>11119.283000000001</v>
      </c>
      <c r="J2" s="8"/>
    </row>
    <row r="3" spans="1:10" x14ac:dyDescent="0.35">
      <c r="A3" s="15" t="s">
        <v>26</v>
      </c>
      <c r="B3" s="14" t="s">
        <v>27</v>
      </c>
      <c r="C3" s="12">
        <v>28.81</v>
      </c>
      <c r="D3" s="13">
        <v>45727</v>
      </c>
      <c r="E3" s="12">
        <v>165.99</v>
      </c>
      <c r="F3" s="3" t="s">
        <v>28</v>
      </c>
      <c r="G3" s="1" t="s">
        <v>14</v>
      </c>
      <c r="H3" s="2" t="s">
        <v>5</v>
      </c>
      <c r="I3" s="7">
        <f>+Table1[[#This Row],[Quantità]]*Table1[[#This Row],[Prezzo Operazione (EUR)]]</f>
        <v>4782.1719000000003</v>
      </c>
      <c r="J3" s="8"/>
    </row>
    <row r="4" spans="1:10" x14ac:dyDescent="0.35">
      <c r="A4" s="15" t="s">
        <v>31</v>
      </c>
      <c r="B4" s="14" t="s">
        <v>32</v>
      </c>
      <c r="C4" s="12">
        <v>100</v>
      </c>
      <c r="D4" s="13">
        <v>45856</v>
      </c>
      <c r="E4" s="12">
        <v>100</v>
      </c>
      <c r="F4" s="3" t="s">
        <v>17</v>
      </c>
      <c r="G4" s="1" t="s">
        <v>14</v>
      </c>
      <c r="H4" s="2" t="s">
        <v>5</v>
      </c>
      <c r="I4" s="7">
        <f>+Table1[[#This Row],[Quantità]]*Table1[[#This Row],[Prezzo Operazione (EUR)]]</f>
        <v>10000</v>
      </c>
      <c r="J4" s="8"/>
    </row>
    <row r="5" spans="1:10" x14ac:dyDescent="0.35">
      <c r="A5" s="15" t="s">
        <v>26</v>
      </c>
      <c r="B5" s="14" t="s">
        <v>27</v>
      </c>
      <c r="C5" s="12">
        <v>5.58</v>
      </c>
      <c r="D5" s="13">
        <v>45868</v>
      </c>
      <c r="E5" s="12">
        <v>160.75</v>
      </c>
      <c r="F5" s="3" t="s">
        <v>28</v>
      </c>
      <c r="G5" s="16" t="s">
        <v>14</v>
      </c>
      <c r="H5" s="2" t="s">
        <v>5</v>
      </c>
      <c r="I5" s="7">
        <f>+Table1[[#This Row],[Quantità]]*Table1[[#This Row],[Prezzo Operazione (EUR)]]</f>
        <v>896.98500000000001</v>
      </c>
      <c r="J5" s="8"/>
    </row>
    <row r="6" spans="1:10" x14ac:dyDescent="0.35">
      <c r="A6" s="15" t="s">
        <v>35</v>
      </c>
      <c r="B6" s="14" t="s">
        <v>34</v>
      </c>
      <c r="C6" s="12">
        <v>10</v>
      </c>
      <c r="D6" s="13">
        <v>45923</v>
      </c>
      <c r="E6" s="12">
        <f>+Table1[[#This Row],[Controvalore (EUR)]]/Table1[[#This Row],[Quantità]]</f>
        <v>1011.177</v>
      </c>
      <c r="F6" s="11" t="s">
        <v>17</v>
      </c>
      <c r="G6" s="16" t="s">
        <v>14</v>
      </c>
      <c r="H6" s="2" t="s">
        <v>5</v>
      </c>
      <c r="I6" s="7">
        <v>10111.77</v>
      </c>
      <c r="J6" s="8"/>
    </row>
    <row r="7" spans="1:10" x14ac:dyDescent="0.35">
      <c r="A7" s="15" t="s">
        <v>26</v>
      </c>
      <c r="B7" s="14" t="s">
        <v>27</v>
      </c>
      <c r="C7" s="12">
        <v>116.45</v>
      </c>
      <c r="D7" s="13">
        <v>45945</v>
      </c>
      <c r="E7" s="12">
        <v>176.28</v>
      </c>
      <c r="F7" s="3" t="s">
        <v>28</v>
      </c>
      <c r="G7" s="16" t="s">
        <v>14</v>
      </c>
      <c r="H7" s="2" t="s">
        <v>5</v>
      </c>
      <c r="I7" s="7">
        <f>+Table1[[#This Row],[Quantità]]*Table1[[#This Row],[Prezzo Operazione (EUR)]]</f>
        <v>20527.806</v>
      </c>
      <c r="J7" s="8"/>
    </row>
    <row r="8" spans="1:10" x14ac:dyDescent="0.35">
      <c r="A8" s="15" t="s">
        <v>22</v>
      </c>
      <c r="B8" s="14" t="s">
        <v>23</v>
      </c>
      <c r="C8" s="12">
        <v>100</v>
      </c>
      <c r="D8" s="13">
        <v>45975</v>
      </c>
      <c r="E8" s="12">
        <v>100</v>
      </c>
      <c r="F8" s="11" t="s">
        <v>8</v>
      </c>
      <c r="G8" s="1" t="s">
        <v>14</v>
      </c>
      <c r="H8" s="2" t="s">
        <v>5</v>
      </c>
      <c r="I8" s="7">
        <f>+Table1[[#This Row],[Quantità]]*Table1[[#This Row],[Prezzo Operazione (EUR)]]</f>
        <v>10000</v>
      </c>
      <c r="J8" s="8"/>
    </row>
    <row r="9" spans="1:10" x14ac:dyDescent="0.35">
      <c r="A9" s="15" t="s">
        <v>24</v>
      </c>
      <c r="B9" s="14" t="s">
        <v>25</v>
      </c>
      <c r="C9" s="12">
        <v>1998</v>
      </c>
      <c r="D9" s="13">
        <v>45981</v>
      </c>
      <c r="E9" s="12">
        <v>4.97</v>
      </c>
      <c r="F9" s="3" t="s">
        <v>28</v>
      </c>
      <c r="G9" s="17" t="s">
        <v>14</v>
      </c>
      <c r="H9" s="18" t="s">
        <v>5</v>
      </c>
      <c r="I9" s="7">
        <f>+Table1[[#This Row],[Quantità]]*Table1[[#This Row],[Prezzo Operazione (EUR)]]</f>
        <v>9930.06</v>
      </c>
      <c r="J9" s="8"/>
    </row>
    <row r="10" spans="1:10" x14ac:dyDescent="0.35">
      <c r="A10" s="15" t="s">
        <v>18</v>
      </c>
      <c r="B10" s="14" t="s">
        <v>19</v>
      </c>
      <c r="C10" s="12">
        <v>93.14</v>
      </c>
      <c r="D10" s="13">
        <v>45981</v>
      </c>
      <c r="E10" s="12">
        <v>106.03768520506765</v>
      </c>
      <c r="F10" s="11" t="s">
        <v>8</v>
      </c>
      <c r="G10" s="17" t="s">
        <v>14</v>
      </c>
      <c r="H10" s="18" t="s">
        <v>5</v>
      </c>
      <c r="I10" s="7">
        <f>+Table1[[#This Row],[Quantità]]*Table1[[#This Row],[Prezzo Operazione (EUR)]]</f>
        <v>9876.35</v>
      </c>
      <c r="J10" s="8"/>
    </row>
    <row r="11" spans="1:10" x14ac:dyDescent="0.35">
      <c r="A11" s="15" t="s">
        <v>20</v>
      </c>
      <c r="B11" s="14" t="s">
        <v>21</v>
      </c>
      <c r="C11" s="12">
        <v>2221.62</v>
      </c>
      <c r="D11" s="13">
        <v>45981</v>
      </c>
      <c r="E11" s="12">
        <v>6.4318065195668028</v>
      </c>
      <c r="F11" s="11" t="s">
        <v>8</v>
      </c>
      <c r="G11" s="17" t="s">
        <v>14</v>
      </c>
      <c r="H11" s="18" t="s">
        <v>5</v>
      </c>
      <c r="I11" s="7">
        <f>+Table1[[#This Row],[Quantità]]*Table1[[#This Row],[Prezzo Operazione (EUR)]]</f>
        <v>14289.03</v>
      </c>
      <c r="J11" s="8"/>
    </row>
    <row r="12" spans="1:10" x14ac:dyDescent="0.35">
      <c r="A12" s="15" t="s">
        <v>29</v>
      </c>
      <c r="B12" s="14" t="s">
        <v>30</v>
      </c>
      <c r="C12" s="12">
        <v>10</v>
      </c>
      <c r="D12" s="13">
        <v>45982</v>
      </c>
      <c r="E12" s="12">
        <v>414.96</v>
      </c>
      <c r="F12" s="3" t="s">
        <v>17</v>
      </c>
      <c r="G12" s="17" t="s">
        <v>14</v>
      </c>
      <c r="H12" s="18" t="s">
        <v>5</v>
      </c>
      <c r="I12" s="7">
        <f>+Table1[[#This Row],[Quantità]]*Table1[[#This Row],[Prezzo Operazione (EUR)]]</f>
        <v>4149.5999999999995</v>
      </c>
      <c r="J12" s="8"/>
    </row>
    <row r="13" spans="1:10" x14ac:dyDescent="0.35">
      <c r="A13" s="15" t="s">
        <v>15</v>
      </c>
      <c r="B13" s="14" t="s">
        <v>16</v>
      </c>
      <c r="C13" s="12">
        <v>9</v>
      </c>
      <c r="D13" s="13">
        <v>46029</v>
      </c>
      <c r="E13" s="12">
        <v>1000</v>
      </c>
      <c r="F13" s="3" t="s">
        <v>17</v>
      </c>
      <c r="G13" s="17" t="s">
        <v>14</v>
      </c>
      <c r="H13" s="18" t="s">
        <v>5</v>
      </c>
      <c r="I13" s="7">
        <f>+Table1[[#This Row],[Quantità]]*Table1[[#This Row],[Prezzo Operazione (EUR)]]</f>
        <v>9000</v>
      </c>
      <c r="J13" s="8"/>
    </row>
    <row r="14" spans="1:10" x14ac:dyDescent="0.35">
      <c r="A14" s="15" t="s">
        <v>33</v>
      </c>
      <c r="B14" s="14" t="s">
        <v>34</v>
      </c>
      <c r="C14" s="12">
        <v>12</v>
      </c>
      <c r="D14" s="13">
        <v>46042</v>
      </c>
      <c r="E14" s="12">
        <v>1000</v>
      </c>
      <c r="F14" s="20" t="s">
        <v>17</v>
      </c>
      <c r="G14" s="17" t="s">
        <v>14</v>
      </c>
      <c r="H14" s="18" t="s">
        <v>5</v>
      </c>
      <c r="I14" s="7">
        <f>+Table1[[#This Row],[Quantità]]*Table1[[#This Row],[Prezzo Operazione (EUR)]]</f>
        <v>12000</v>
      </c>
      <c r="J14" s="8"/>
    </row>
  </sheetData>
  <conditionalFormatting sqref="A11">
    <cfRule type="duplicateValues" dxfId="50" priority="63"/>
  </conditionalFormatting>
  <conditionalFormatting sqref="A12">
    <cfRule type="duplicateValues" dxfId="49" priority="60"/>
  </conditionalFormatting>
  <conditionalFormatting sqref="A13">
    <cfRule type="duplicateValues" dxfId="48" priority="57"/>
  </conditionalFormatting>
  <conditionalFormatting sqref="A14">
    <cfRule type="duplicateValues" dxfId="47" priority="27"/>
  </conditionalFormatting>
  <conditionalFormatting sqref="B2:B14">
    <cfRule type="containsText" dxfId="46" priority="125" stopIfTrue="1" operator="containsText" text="BTP">
      <formula>NOT(ISERROR(SEARCH("BTP",B2)))</formula>
    </cfRule>
    <cfRule type="expression" dxfId="45" priority="124" stopIfTrue="1">
      <formula>IF(AND(ISNUMBER(SEARCH("H2O", B2)), ISNUMBER(SEARCH("SP", B2))), 1,0)</formula>
    </cfRule>
  </conditionalFormatting>
  <conditionalFormatting sqref="B3">
    <cfRule type="expression" dxfId="44" priority="118" stopIfTrue="1">
      <formula>IF(AND(ISNUMBER(SEARCH("H2O", B3)), ISNUMBER(SEARCH("SP", B3))), 1,0)</formula>
    </cfRule>
    <cfRule type="containsText" dxfId="43" priority="119" stopIfTrue="1" operator="containsText" text="BTP">
      <formula>NOT(ISERROR(SEARCH("BTP",B3)))</formula>
    </cfRule>
  </conditionalFormatting>
  <conditionalFormatting sqref="B8:B13">
    <cfRule type="containsText" dxfId="42" priority="59" stopIfTrue="1" operator="containsText" text="BTP">
      <formula>NOT(ISERROR(SEARCH("BTP",B8)))</formula>
    </cfRule>
    <cfRule type="expression" dxfId="41" priority="58" stopIfTrue="1">
      <formula>IF(AND(ISNUMBER(SEARCH("H2O", B8)), ISNUMBER(SEARCH("SP", B8))), 1,0)</formula>
    </cfRule>
  </conditionalFormatting>
  <conditionalFormatting sqref="B13:B14">
    <cfRule type="containsText" dxfId="40" priority="26" stopIfTrue="1" operator="containsText" text="BTP">
      <formula>NOT(ISERROR(SEARCH("BTP",B13)))</formula>
    </cfRule>
    <cfRule type="expression" dxfId="39" priority="25" stopIfTrue="1">
      <formula>IF(AND(ISNUMBER(SEARCH("H2O", B13)), ISNUMBER(SEARCH("SP", B13))), 1,0)</formula>
    </cfRule>
  </conditionalFormatting>
  <conditionalFormatting sqref="C2:C14">
    <cfRule type="containsBlanks" dxfId="38" priority="157">
      <formula>LEN(TRIM(C2))=0</formula>
    </cfRule>
  </conditionalFormatting>
  <conditionalFormatting sqref="F3:F14">
    <cfRule type="containsText" dxfId="37" priority="15" operator="containsText" text="NEW">
      <formula>NOT(ISERROR(SEARCH("NEW",F3)))</formula>
    </cfRule>
    <cfRule type="containsText" dxfId="36" priority="19" operator="containsText" text="Obblig.">
      <formula>NOT(ISERROR(SEARCH("Obblig.",F3)))</formula>
    </cfRule>
    <cfRule type="containsText" dxfId="35" priority="20" operator="containsText" text="ETF">
      <formula>NOT(ISERROR(SEARCH("ETF",F3)))</formula>
    </cfRule>
    <cfRule type="containsText" dxfId="34" priority="24" operator="containsText" text="Certif">
      <formula>NOT(ISERROR(SEARCH("Certif",F3)))</formula>
    </cfRule>
    <cfRule type="containsText" dxfId="33" priority="21" operator="containsText" text="Azionario">
      <formula>NOT(ISERROR(SEARCH("Azionario",F3)))</formula>
    </cfRule>
    <cfRule type="containsText" dxfId="32" priority="22" operator="containsText" text="Liquidità">
      <formula>NOT(ISERROR(SEARCH("Liquidità",F3)))</formula>
    </cfRule>
    <cfRule type="containsText" dxfId="31" priority="23" operator="containsText" text="Bilanciato">
      <formula>NOT(ISERROR(SEARCH("Bilanciato",F3)))</formula>
    </cfRule>
    <cfRule type="containsText" dxfId="30" priority="16" operator="containsText" text="Multi-Asset">
      <formula>NOT(ISERROR(SEARCH("Multi-Asset",F3)))</formula>
    </cfRule>
    <cfRule type="containsText" dxfId="29" priority="17" operator="containsText" text="Altro">
      <formula>NOT(ISERROR(SEARCH("Altro",F3)))</formula>
    </cfRule>
    <cfRule type="containsText" dxfId="28" priority="18" operator="containsText" text="Obbligazionario">
      <formula>NOT(ISERROR(SEARCH("Obbligazionario",F3)))</formula>
    </cfRule>
  </conditionalFormatting>
  <conditionalFormatting sqref="F2:G2">
    <cfRule type="containsText" dxfId="27" priority="135" operator="containsText" text="Liquidità">
      <formula>NOT(ISERROR(SEARCH("Liquidità",F2)))</formula>
    </cfRule>
    <cfRule type="containsText" dxfId="26" priority="129" operator="containsText" text="Multi-Asset">
      <formula>NOT(ISERROR(SEARCH("Multi-Asset",F2)))</formula>
    </cfRule>
    <cfRule type="containsText" dxfId="25" priority="134" operator="containsText" text="Azionario">
      <formula>NOT(ISERROR(SEARCH("Azionario",F2)))</formula>
    </cfRule>
    <cfRule type="containsText" dxfId="24" priority="128" operator="containsText" text="NEW">
      <formula>NOT(ISERROR(SEARCH("NEW",F2)))</formula>
    </cfRule>
    <cfRule type="containsText" dxfId="23" priority="132" operator="containsText" text="Obblig.">
      <formula>NOT(ISERROR(SEARCH("Obblig.",F2)))</formula>
    </cfRule>
    <cfRule type="containsText" dxfId="22" priority="131" operator="containsText" text="Obbligazionario">
      <formula>NOT(ISERROR(SEARCH("Obbligazionario",F2)))</formula>
    </cfRule>
    <cfRule type="containsText" dxfId="21" priority="130" operator="containsText" text="Altro">
      <formula>NOT(ISERROR(SEARCH("Altro",F2)))</formula>
    </cfRule>
    <cfRule type="containsText" dxfId="20" priority="136" operator="containsText" text="Bilanciato">
      <formula>NOT(ISERROR(SEARCH("Bilanciato",F2)))</formula>
    </cfRule>
    <cfRule type="containsText" dxfId="19" priority="137" operator="containsText" text="Certif">
      <formula>NOT(ISERROR(SEARCH("Certif",F2)))</formula>
    </cfRule>
    <cfRule type="containsText" dxfId="18" priority="133" operator="containsText" text="ETF">
      <formula>NOT(ISERROR(SEARCH("ETF",F2)))</formula>
    </cfRule>
  </conditionalFormatting>
  <conditionalFormatting sqref="G2:G14">
    <cfRule type="containsText" dxfId="17" priority="144" operator="containsText" text="Vendita">
      <formula>NOT(ISERROR(SEARCH("Vendita",G2)))</formula>
    </cfRule>
    <cfRule type="containsText" dxfId="16" priority="145" operator="containsText" text="Acquisto">
      <formula>NOT(ISERROR(SEARCH("Acquisto",G2)))</formula>
    </cfRule>
  </conditionalFormatting>
  <conditionalFormatting sqref="G3:G14">
    <cfRule type="containsText" dxfId="15" priority="10" operator="containsText" text="Liquidità">
      <formula>NOT(ISERROR(SEARCH("Liquidità",G3)))</formula>
    </cfRule>
    <cfRule type="containsText" dxfId="14" priority="11" operator="containsText" text="Bilanciato">
      <formula>NOT(ISERROR(SEARCH("Bilanciato",G3)))</formula>
    </cfRule>
    <cfRule type="containsText" dxfId="13" priority="12" operator="containsText" text="Certif">
      <formula>NOT(ISERROR(SEARCH("Certif",G3)))</formula>
    </cfRule>
    <cfRule type="containsText" dxfId="12" priority="7" operator="containsText" text="Obblig.">
      <formula>NOT(ISERROR(SEARCH("Obblig.",G3)))</formula>
    </cfRule>
    <cfRule type="containsText" dxfId="11" priority="8" operator="containsText" text="ETF">
      <formula>NOT(ISERROR(SEARCH("ETF",G3)))</formula>
    </cfRule>
    <cfRule type="containsText" dxfId="10" priority="3" operator="containsText" text="NEW">
      <formula>NOT(ISERROR(SEARCH("NEW",G3)))</formula>
    </cfRule>
    <cfRule type="containsText" dxfId="9" priority="4" operator="containsText" text="Multi-Asset">
      <formula>NOT(ISERROR(SEARCH("Multi-Asset",G3)))</formula>
    </cfRule>
    <cfRule type="containsText" dxfId="8" priority="5" operator="containsText" text="Altro">
      <formula>NOT(ISERROR(SEARCH("Altro",G3)))</formula>
    </cfRule>
    <cfRule type="containsText" dxfId="7" priority="6" operator="containsText" text="Obbligazionario">
      <formula>NOT(ISERROR(SEARCH("Obbligazionario",G3)))</formula>
    </cfRule>
    <cfRule type="containsText" dxfId="6" priority="9" operator="containsText" text="Azionario">
      <formula>NOT(ISERROR(SEARCH("Azionario",G3)))</formula>
    </cfRule>
  </conditionalFormatting>
  <conditionalFormatting sqref="G14">
    <cfRule type="containsText" dxfId="5" priority="14" operator="containsText" text="Acquisto">
      <formula>NOT(ISERROR(SEARCH("Acquisto",G14)))</formula>
    </cfRule>
    <cfRule type="containsText" dxfId="4" priority="13" operator="containsText" text="Vendita">
      <formula>NOT(ISERROR(SEARCH("Vendita",G14)))</formula>
    </cfRule>
  </conditionalFormatting>
  <conditionalFormatting sqref="H2:H14">
    <cfRule type="notContainsText" dxfId="2" priority="122" operator="notContains" text="EUR">
      <formula>ISERROR(SEARCH("EUR",H2))</formula>
    </cfRule>
  </conditionalFormatting>
  <conditionalFormatting sqref="H14">
    <cfRule type="notContainsText" dxfId="0" priority="2" operator="notContains" text="EUR">
      <formula>ISERROR(SEARCH("EUR",H14))</formula>
    </cfRule>
  </conditionalFormatting>
  <dataValidations count="1">
    <dataValidation type="list" allowBlank="1" showInputMessage="1" showErrorMessage="1" sqref="G2:G14" xr:uid="{9A98F400-F59B-4CAF-B5F6-F5C20F3D7971}">
      <formula1>"Acquisto,Vendita,-"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1" stopIfTrue="1" operator="containsText" id="{5C0DA463-E331-4F36-9AA2-25576B5B138E}">
            <xm:f>NOT(ISERROR(SEARCH("-",H2)))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H2:H14</xm:sqref>
        </x14:conditionalFormatting>
        <x14:conditionalFormatting xmlns:xm="http://schemas.microsoft.com/office/excel/2006/main">
          <x14:cfRule type="containsText" priority="1" stopIfTrue="1" operator="containsText" id="{C8DA43C6-CEAC-4380-9D19-67E49F53F501}">
            <xm:f>NOT(ISERROR(SEARCH("-",H14)))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2026-03-21T17:49:29Z</dcterms:modified>
</cp:coreProperties>
</file>