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3NOMI\"/>
    </mc:Choice>
  </mc:AlternateContent>
  <xr:revisionPtr revIDLastSave="0" documentId="13_ncr:1_{25883029-3372-41F2-B5D3-1ED12DFFE8F1}" xr6:coauthVersionLast="47" xr6:coauthVersionMax="47" xr10:uidLastSave="{00000000-0000-0000-0000-000000000000}"/>
  <bookViews>
    <workbookView xWindow="-110" yWindow="490" windowWidth="38620" windowHeight="21220" xr2:uid="{461EA0C3-CC98-4DCD-BC5C-C997A99599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2" i="1"/>
  <c r="J3" i="1"/>
  <c r="I3" i="1"/>
  <c r="I2" i="1"/>
</calcChain>
</file>

<file path=xl/sharedStrings.xml><?xml version="1.0" encoding="utf-8"?>
<sst xmlns="http://schemas.openxmlformats.org/spreadsheetml/2006/main" count="21" uniqueCount="17">
  <si>
    <t>ISIN</t>
  </si>
  <si>
    <t>Quantità</t>
  </si>
  <si>
    <t>Divisa</t>
  </si>
  <si>
    <t>Data (acquisto/vendita)</t>
  </si>
  <si>
    <t>Operazione</t>
  </si>
  <si>
    <t>EUR</t>
  </si>
  <si>
    <t>Prezzo Operazione (EUR)</t>
  </si>
  <si>
    <t>Controvalore (EUR)</t>
  </si>
  <si>
    <t>Fondo Obbligazionario</t>
  </si>
  <si>
    <t>Tipologia</t>
  </si>
  <si>
    <t>Descrizione Asset</t>
  </si>
  <si>
    <t>ANIMA TRICOL A</t>
  </si>
  <si>
    <t>IT0005186082</t>
  </si>
  <si>
    <t>Vendita</t>
  </si>
  <si>
    <t>Acquisto</t>
  </si>
  <si>
    <t>Quantità Finale</t>
  </si>
  <si>
    <t>Controvalore Finale (EUR)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</si>
</sst>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#,##0.00;;\-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9"/>
      </top>
      <bottom style="medium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8">
    <xf numFmtId="0" fontId="0" fillId="0" borderId="0" xfId="0"/>
    <xf numFmtId="2" fontId="2" fillId="0" borderId="1" xfId="0" applyNumberFormat="1" applyFont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3" xfId="0" applyFont="1" applyBorder="1"/>
    <xf numFmtId="14" fontId="0" fillId="0" borderId="3" xfId="0" applyNumberFormat="1" applyFont="1" applyBorder="1" applyAlignment="1">
      <alignment horizontal="center"/>
    </xf>
    <xf numFmtId="4" fontId="0" fillId="0" borderId="3" xfId="0" applyNumberFormat="1" applyFont="1" applyBorder="1"/>
    <xf numFmtId="4" fontId="0" fillId="4" borderId="1" xfId="0" applyNumberFormat="1" applyFill="1" applyBorder="1"/>
    <xf numFmtId="0" fontId="1" fillId="3" borderId="2" xfId="0" applyFont="1" applyFill="1" applyBorder="1" applyAlignment="1">
      <alignment horizontal="center"/>
    </xf>
    <xf numFmtId="0" fontId="0" fillId="4" borderId="1" xfId="0" applyFill="1" applyBorder="1"/>
    <xf numFmtId="14" fontId="0" fillId="4" borderId="1" xfId="0" applyNumberFormat="1" applyFill="1" applyBorder="1" applyAlignment="1">
      <alignment horizontal="center"/>
    </xf>
    <xf numFmtId="2" fontId="2" fillId="4" borderId="1" xfId="0" applyNumberFormat="1" applyFont="1" applyFill="1" applyBorder="1" applyAlignment="1">
      <alignment vertical="center"/>
    </xf>
    <xf numFmtId="0" fontId="0" fillId="4" borderId="1" xfId="0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164" fontId="0" fillId="4" borderId="1" xfId="0" applyNumberFormat="1" applyFont="1" applyFill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center" vertical="center"/>
    </xf>
    <xf numFmtId="8" fontId="0" fillId="4" borderId="4" xfId="0" applyNumberFormat="1" applyFont="1" applyFill="1" applyBorder="1" applyAlignment="1">
      <alignment horizontal="center"/>
    </xf>
    <xf numFmtId="8" fontId="0" fillId="0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8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FF99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rgb="FFEB8953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theme="3" tint="0.89996032593768116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99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rgb="FFEB8953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theme="3" tint="0.89996032593768116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FF99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rgb="FFEB8953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theme="3" tint="0.89996032593768116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FF99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rgb="FFEB8953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theme="3" tint="0.89996032593768116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99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rgb="FFEB8953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theme="3" tint="0.89996032593768116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sheetPr codeName="Sheet1"/>
  <dimension ref="A1:K3"/>
  <sheetViews>
    <sheetView showGridLines="0" tabSelected="1" zoomScale="85" zoomScaleNormal="85" workbookViewId="0">
      <selection activeCell="K3" sqref="K3"/>
    </sheetView>
  </sheetViews>
  <sheetFormatPr defaultRowHeight="14.5" x14ac:dyDescent="0.35"/>
  <cols>
    <col min="1" max="1" width="15.81640625" customWidth="1"/>
    <col min="2" max="2" width="29.453125" bestFit="1" customWidth="1"/>
    <col min="3" max="3" width="12.54296875" bestFit="1" customWidth="1"/>
    <col min="4" max="4" width="25.7265625" customWidth="1"/>
    <col min="5" max="5" width="21.90625" bestFit="1" customWidth="1"/>
    <col min="6" max="6" width="21.453125" bestFit="1" customWidth="1"/>
    <col min="7" max="7" width="15.81640625" bestFit="1" customWidth="1"/>
    <col min="8" max="8" width="10.54296875" bestFit="1" customWidth="1"/>
    <col min="9" max="9" width="21.26953125" bestFit="1" customWidth="1"/>
    <col min="10" max="10" width="28.1796875" customWidth="1"/>
    <col min="11" max="11" width="35.453125" customWidth="1"/>
    <col min="12" max="12" width="19.81640625" bestFit="1" customWidth="1"/>
    <col min="13" max="13" width="11.81640625" bestFit="1" customWidth="1"/>
    <col min="14" max="14" width="10.7265625" bestFit="1" customWidth="1"/>
    <col min="16" max="16" width="7.54296875" bestFit="1" customWidth="1"/>
  </cols>
  <sheetData>
    <row r="1" spans="1:11" ht="15" thickBot="1" x14ac:dyDescent="0.4">
      <c r="A1" s="3" t="s">
        <v>0</v>
      </c>
      <c r="B1" s="8" t="s">
        <v>10</v>
      </c>
      <c r="C1" s="3" t="s">
        <v>1</v>
      </c>
      <c r="D1" s="8" t="s">
        <v>3</v>
      </c>
      <c r="E1" s="8" t="s">
        <v>6</v>
      </c>
      <c r="F1" s="8" t="s">
        <v>9</v>
      </c>
      <c r="G1" s="8" t="s">
        <v>4</v>
      </c>
      <c r="H1" s="2" t="s">
        <v>2</v>
      </c>
      <c r="I1" s="2" t="s">
        <v>7</v>
      </c>
      <c r="J1" s="3" t="s">
        <v>15</v>
      </c>
      <c r="K1" s="2" t="s">
        <v>16</v>
      </c>
    </row>
    <row r="2" spans="1:11" x14ac:dyDescent="0.35">
      <c r="A2" s="9" t="s">
        <v>12</v>
      </c>
      <c r="B2" s="9" t="s">
        <v>11</v>
      </c>
      <c r="C2" s="7">
        <v>3419.39</v>
      </c>
      <c r="D2" s="10">
        <v>45204</v>
      </c>
      <c r="E2" s="7">
        <v>5.8490000000000002</v>
      </c>
      <c r="F2" s="11" t="s">
        <v>8</v>
      </c>
      <c r="G2" s="12" t="s">
        <v>14</v>
      </c>
      <c r="H2" s="14" t="s">
        <v>5</v>
      </c>
      <c r="I2" s="16">
        <f>-C2*E2</f>
        <v>-20000.01211</v>
      </c>
      <c r="J2" s="7">
        <v>3419.39</v>
      </c>
      <c r="K2" s="16">
        <f>-I2</f>
        <v>20000.01211</v>
      </c>
    </row>
    <row r="3" spans="1:11" x14ac:dyDescent="0.35">
      <c r="A3" s="4" t="s">
        <v>12</v>
      </c>
      <c r="B3" s="4" t="s">
        <v>11</v>
      </c>
      <c r="C3" s="6">
        <v>1679.65</v>
      </c>
      <c r="D3" s="5">
        <v>45693</v>
      </c>
      <c r="E3" s="6">
        <v>6.62</v>
      </c>
      <c r="F3" s="1" t="s">
        <v>8</v>
      </c>
      <c r="G3" s="13" t="s">
        <v>13</v>
      </c>
      <c r="H3" s="15" t="s">
        <v>5</v>
      </c>
      <c r="I3" s="17">
        <f>C3*E3</f>
        <v>11119.283000000001</v>
      </c>
      <c r="J3" s="6">
        <f>+J2-C3</f>
        <v>1739.7399999999998</v>
      </c>
      <c r="K3" s="17">
        <f>+J3*E3</f>
        <v>11517.078799999999</v>
      </c>
    </row>
  </sheetData>
  <conditionalFormatting sqref="A2">
    <cfRule type="duplicateValues" dxfId="46" priority="47"/>
  </conditionalFormatting>
  <conditionalFormatting sqref="B2">
    <cfRule type="expression" dxfId="45" priority="32" stopIfTrue="1">
      <formula>IF(AND(ISNUMBER(SEARCH("H2O", B2)), ISNUMBER(SEARCH("SP", B2))), 1,0)</formula>
    </cfRule>
    <cfRule type="containsText" dxfId="44" priority="33" stopIfTrue="1" operator="containsText" text="BTP">
      <formula>NOT(ISERROR(SEARCH("BTP",B2)))</formula>
    </cfRule>
  </conditionalFormatting>
  <conditionalFormatting sqref="C2">
    <cfRule type="containsBlanks" dxfId="43" priority="46">
      <formula>LEN(TRIM(C2))=0</formula>
    </cfRule>
  </conditionalFormatting>
  <conditionalFormatting sqref="F2:G2">
    <cfRule type="containsText" dxfId="42" priority="34" operator="containsText" text="NEW">
      <formula>NOT(ISERROR(SEARCH("NEW",F2)))</formula>
    </cfRule>
    <cfRule type="containsText" dxfId="41" priority="35" operator="containsText" text="Multi-Asset">
      <formula>NOT(ISERROR(SEARCH("Multi-Asset",F2)))</formula>
    </cfRule>
    <cfRule type="containsText" dxfId="40" priority="36" operator="containsText" text="Altro">
      <formula>NOT(ISERROR(SEARCH("Altro",F2)))</formula>
    </cfRule>
    <cfRule type="containsText" dxfId="39" priority="37" operator="containsText" text="Obbligazionario">
      <formula>NOT(ISERROR(SEARCH("Obbligazionario",F2)))</formula>
    </cfRule>
    <cfRule type="containsText" dxfId="38" priority="38" operator="containsText" text="Obblig.">
      <formula>NOT(ISERROR(SEARCH("Obblig.",F2)))</formula>
    </cfRule>
    <cfRule type="containsText" dxfId="37" priority="39" operator="containsText" text="ETF">
      <formula>NOT(ISERROR(SEARCH("ETF",F2)))</formula>
    </cfRule>
    <cfRule type="containsText" dxfId="36" priority="40" operator="containsText" text="Azionario">
      <formula>NOT(ISERROR(SEARCH("Azionario",F2)))</formula>
    </cfRule>
    <cfRule type="containsText" dxfId="35" priority="41" operator="containsText" text="Liquidità">
      <formula>NOT(ISERROR(SEARCH("Liquidità",F2)))</formula>
    </cfRule>
    <cfRule type="containsText" dxfId="34" priority="42" operator="containsText" text="Bilanciato">
      <formula>NOT(ISERROR(SEARCH("Bilanciato",F2)))</formula>
    </cfRule>
    <cfRule type="containsText" dxfId="33" priority="43" operator="containsText" text="Certif">
      <formula>NOT(ISERROR(SEARCH("Certif",F2)))</formula>
    </cfRule>
  </conditionalFormatting>
  <conditionalFormatting sqref="G2">
    <cfRule type="containsText" dxfId="32" priority="44" operator="containsText" text="Vendita">
      <formula>NOT(ISERROR(SEARCH("Vendita",G2)))</formula>
    </cfRule>
    <cfRule type="containsText" dxfId="31" priority="45" operator="containsText" text="Acquisto">
      <formula>NOT(ISERROR(SEARCH("Acquisto",G2)))</formula>
    </cfRule>
  </conditionalFormatting>
  <conditionalFormatting sqref="B3">
    <cfRule type="expression" dxfId="30" priority="17" stopIfTrue="1">
      <formula>IF(AND(ISNUMBER(SEARCH("H2O", B3)), ISNUMBER(SEARCH("SP", B3))), 1,0)</formula>
    </cfRule>
    <cfRule type="containsText" dxfId="29" priority="18" stopIfTrue="1" operator="containsText" text="BTP">
      <formula>NOT(ISERROR(SEARCH("BTP",B3)))</formula>
    </cfRule>
  </conditionalFormatting>
  <conditionalFormatting sqref="B3">
    <cfRule type="expression" dxfId="28" priority="15" stopIfTrue="1">
      <formula>IF(AND(ISNUMBER(SEARCH("H2O", B3)), ISNUMBER(SEARCH("SP", B3))), 1,0)</formula>
    </cfRule>
    <cfRule type="containsText" dxfId="27" priority="16" stopIfTrue="1" operator="containsText" text="BTP">
      <formula>NOT(ISERROR(SEARCH("BTP",B3)))</formula>
    </cfRule>
  </conditionalFormatting>
  <conditionalFormatting sqref="C3">
    <cfRule type="containsBlanks" dxfId="26" priority="31">
      <formula>LEN(TRIM(C3))=0</formula>
    </cfRule>
  </conditionalFormatting>
  <conditionalFormatting sqref="F3">
    <cfRule type="containsText" dxfId="25" priority="5" operator="containsText" text="NEW">
      <formula>NOT(ISERROR(SEARCH("NEW",F3)))</formula>
    </cfRule>
    <cfRule type="containsText" dxfId="24" priority="6" operator="containsText" text="Multi-Asset">
      <formula>NOT(ISERROR(SEARCH("Multi-Asset",F3)))</formula>
    </cfRule>
    <cfRule type="containsText" dxfId="23" priority="7" operator="containsText" text="Altro">
      <formula>NOT(ISERROR(SEARCH("Altro",F3)))</formula>
    </cfRule>
    <cfRule type="containsText" dxfId="22" priority="8" operator="containsText" text="Obbligazionario">
      <formula>NOT(ISERROR(SEARCH("Obbligazionario",F3)))</formula>
    </cfRule>
    <cfRule type="containsText" dxfId="21" priority="9" operator="containsText" text="Obblig.">
      <formula>NOT(ISERROR(SEARCH("Obblig.",F3)))</formula>
    </cfRule>
    <cfRule type="containsText" dxfId="20" priority="10" operator="containsText" text="ETF">
      <formula>NOT(ISERROR(SEARCH("ETF",F3)))</formula>
    </cfRule>
    <cfRule type="containsText" dxfId="19" priority="11" operator="containsText" text="Azionario">
      <formula>NOT(ISERROR(SEARCH("Azionario",F3)))</formula>
    </cfRule>
    <cfRule type="containsText" dxfId="18" priority="12" operator="containsText" text="Liquidità">
      <formula>NOT(ISERROR(SEARCH("Liquidità",F3)))</formula>
    </cfRule>
    <cfRule type="containsText" dxfId="17" priority="13" operator="containsText" text="Bilanciato">
      <formula>NOT(ISERROR(SEARCH("Bilanciato",F3)))</formula>
    </cfRule>
    <cfRule type="containsText" dxfId="16" priority="14" operator="containsText" text="Certif">
      <formula>NOT(ISERROR(SEARCH("Certif",F3)))</formula>
    </cfRule>
  </conditionalFormatting>
  <conditionalFormatting sqref="G3">
    <cfRule type="containsText" dxfId="15" priority="19" operator="containsText" text="NEW">
      <formula>NOT(ISERROR(SEARCH("NEW",G3)))</formula>
    </cfRule>
    <cfRule type="containsText" dxfId="14" priority="20" operator="containsText" text="Multi-Asset">
      <formula>NOT(ISERROR(SEARCH("Multi-Asset",G3)))</formula>
    </cfRule>
    <cfRule type="containsText" dxfId="13" priority="21" operator="containsText" text="Altro">
      <formula>NOT(ISERROR(SEARCH("Altro",G3)))</formula>
    </cfRule>
    <cfRule type="containsText" dxfId="12" priority="22" operator="containsText" text="Obbligazionario">
      <formula>NOT(ISERROR(SEARCH("Obbligazionario",G3)))</formula>
    </cfRule>
    <cfRule type="containsText" dxfId="11" priority="23" operator="containsText" text="Obblig.">
      <formula>NOT(ISERROR(SEARCH("Obblig.",G3)))</formula>
    </cfRule>
    <cfRule type="containsText" dxfId="10" priority="24" operator="containsText" text="ETF">
      <formula>NOT(ISERROR(SEARCH("ETF",G3)))</formula>
    </cfRule>
    <cfRule type="containsText" dxfId="9" priority="25" operator="containsText" text="Azionario">
      <formula>NOT(ISERROR(SEARCH("Azionario",G3)))</formula>
    </cfRule>
    <cfRule type="containsText" dxfId="8" priority="26" operator="containsText" text="Liquidità">
      <formula>NOT(ISERROR(SEARCH("Liquidità",G3)))</formula>
    </cfRule>
    <cfRule type="containsText" dxfId="7" priority="27" operator="containsText" text="Bilanciato">
      <formula>NOT(ISERROR(SEARCH("Bilanciato",G3)))</formula>
    </cfRule>
    <cfRule type="containsText" dxfId="6" priority="28" operator="containsText" text="Certif">
      <formula>NOT(ISERROR(SEARCH("Certif",G3)))</formula>
    </cfRule>
  </conditionalFormatting>
  <conditionalFormatting sqref="G3">
    <cfRule type="containsText" dxfId="5" priority="29" operator="containsText" text="Vendita">
      <formula>NOT(ISERROR(SEARCH("Vendita",G3)))</formula>
    </cfRule>
    <cfRule type="containsText" dxfId="4" priority="30" operator="containsText" text="Acquisto">
      <formula>NOT(ISERROR(SEARCH("Acquisto",G3)))</formula>
    </cfRule>
  </conditionalFormatting>
  <conditionalFormatting sqref="H2:H3">
    <cfRule type="notContainsText" dxfId="2" priority="4" operator="notContains" text="EUR">
      <formula>ISERROR(SEARCH("EUR",H2))</formula>
    </cfRule>
  </conditionalFormatting>
  <conditionalFormatting sqref="J2">
    <cfRule type="containsBlanks" dxfId="1" priority="2">
      <formula>LEN(TRIM(J2))=0</formula>
    </cfRule>
  </conditionalFormatting>
  <conditionalFormatting sqref="J3">
    <cfRule type="containsBlanks" dxfId="0" priority="1">
      <formula>LEN(TRIM(J3))=0</formula>
    </cfRule>
  </conditionalFormatting>
  <dataValidations disablePrompts="1" count="1">
    <dataValidation type="list" allowBlank="1" showInputMessage="1" showErrorMessage="1" sqref="G2:G3" xr:uid="{9A98F400-F59B-4CAF-B5F6-F5C20F3D7971}">
      <formula1>"Acquisto,Vendita,-"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stopIfTrue="1" operator="containsText" id="{4443A4AC-103E-4BD3-A9B5-9FE42C7EEBDD}">
            <xm:f>NOT(ISERROR(SEARCH("-",H2)))</xm:f>
            <xm:f>"-"</xm:f>
            <x14:dxf>
              <fill>
                <patternFill patternType="none">
                  <bgColor auto="1"/>
                </patternFill>
              </fill>
            </x14:dxf>
          </x14:cfRule>
          <xm:sqref>H2:H3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2026-02-28T09:54:18Z</dcterms:modified>
</cp:coreProperties>
</file>