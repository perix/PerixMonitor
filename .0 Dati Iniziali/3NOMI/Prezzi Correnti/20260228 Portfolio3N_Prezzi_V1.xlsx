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8_{A7D449E5-07C5-4353-A7BA-85059E251CDA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definedNames>
    <definedName name="_xlnm._FilterDatabase" localSheetId="0" hidden="1">Sheet1!$A$1:$G$30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" i="1"/>
  <c r="L2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<sst xmlns="http://schemas.openxmlformats.org/spreadsheetml/2006/main" count="95" uniqueCount="67">
  <si>
    <t>ISIN</t>
  </si>
  <si>
    <t>Quantità</t>
  </si>
  <si>
    <t>Divisa</t>
  </si>
  <si>
    <t>Prezzo Carico (EUR)</t>
  </si>
  <si>
    <t>Prezzo Corrente (EUR)</t>
  </si>
  <si>
    <t>ISHS MSCI WORLD EUR</t>
  </si>
  <si>
    <t>MSIF GL BRDS AC</t>
  </si>
  <si>
    <t>N1 EUR BANK D BP EUR</t>
  </si>
  <si>
    <t>BSKT/BNPI 28</t>
  </si>
  <si>
    <t>GLB X SILV USD-A EUR</t>
  </si>
  <si>
    <t>IE00B4L5Y983</t>
  </si>
  <si>
    <t>LU0119620416</t>
  </si>
  <si>
    <t>LU0772944145</t>
  </si>
  <si>
    <t>XS3174997521</t>
  </si>
  <si>
    <t>IE000UL6CLP7</t>
  </si>
  <si>
    <t>Controvalore Totale:</t>
  </si>
  <si>
    <t>Descrizione Asset</t>
  </si>
  <si>
    <t>Data</t>
  </si>
  <si>
    <t>EUR</t>
  </si>
  <si>
    <t>USD</t>
  </si>
  <si>
    <t>ACMB IL HEALTH C EUR</t>
  </si>
  <si>
    <t>LU0251853072</t>
  </si>
  <si>
    <t>ANIMA TRICOL A</t>
  </si>
  <si>
    <t>IT0005186082</t>
  </si>
  <si>
    <t>BGF WLD ENERG E2 EUR</t>
  </si>
  <si>
    <t>LU0171304552</t>
  </si>
  <si>
    <t>BPA CC E28</t>
  </si>
  <si>
    <t>NLBNPIT2OWW8</t>
  </si>
  <si>
    <t>XS3124062178</t>
  </si>
  <si>
    <t>BSKT/BNPI 28 0.85%</t>
  </si>
  <si>
    <t>XS3174995152</t>
  </si>
  <si>
    <t>BSKT/LEON 27</t>
  </si>
  <si>
    <t>CH1290280945</t>
  </si>
  <si>
    <t>BSKT/LEON 29</t>
  </si>
  <si>
    <t>CH1467578527</t>
  </si>
  <si>
    <t>CAN BD GL HY CC  EUR</t>
  </si>
  <si>
    <t>LU0170291933</t>
  </si>
  <si>
    <t>D INV I C SECT LCC</t>
  </si>
  <si>
    <t>LU1278917452</t>
  </si>
  <si>
    <t>DWS CONC KALDEM  EUR</t>
  </si>
  <si>
    <t>LU0599946893</t>
  </si>
  <si>
    <t>EURIZON OB E HY</t>
  </si>
  <si>
    <t>IT0001280541</t>
  </si>
  <si>
    <t>EURIZON OB EC</t>
  </si>
  <si>
    <t>IT0003459473</t>
  </si>
  <si>
    <t>FID CHINA CONS E EUR</t>
  </si>
  <si>
    <t>LU0766124126</t>
  </si>
  <si>
    <t>FID GLO DEMO E EUH A</t>
  </si>
  <si>
    <t>LU0528228157</t>
  </si>
  <si>
    <t>JPMIF GL DIV AC  EUR</t>
  </si>
  <si>
    <t>LU0329202252</t>
  </si>
  <si>
    <t>LIF EM 1-3YIBGB  EUR</t>
  </si>
  <si>
    <t>LU1598691050</t>
  </si>
  <si>
    <t>MB MFS PRUD CAP K AC</t>
  </si>
  <si>
    <t>IT0005444754</t>
  </si>
  <si>
    <t>MSI EU C B D H"A"ACC</t>
  </si>
  <si>
    <t>LU1832969650</t>
  </si>
  <si>
    <t>N1 EU CR CRED BP EUR</t>
  </si>
  <si>
    <t>LU0733673288</t>
  </si>
  <si>
    <t>TC MOR HIGH DIV  EUR</t>
  </si>
  <si>
    <t>NL0011683594</t>
  </si>
  <si>
    <t>U ACCESS SICAV - EUR</t>
  </si>
  <si>
    <t>LU2695671391</t>
  </si>
  <si>
    <t>VAN VEC SE USD-A EUR</t>
  </si>
  <si>
    <t>IE00BMC38736</t>
  </si>
  <si>
    <t>VANECK DEFENSE EUR</t>
  </si>
  <si>
    <t>IE000YYE6WK5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</si>
</sst>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2" borderId="1" xfId="0" applyNumberFormat="1" applyFill="1" applyBorder="1" applyAlignment="1">
      <alignment horizontal="center"/>
    </xf>
    <xf numFmtId="8" fontId="4" fillId="3" borderId="4" xfId="0" applyNumberFormat="1" applyFont="1" applyFill="1" applyBorder="1"/>
    <xf numFmtId="0" fontId="4" fillId="0" borderId="1" xfId="0" applyFont="1" applyBorder="1"/>
    <xf numFmtId="0" fontId="4" fillId="0" borderId="3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166" fontId="0" fillId="0" borderId="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9"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30"/>
  <sheetViews>
    <sheetView showGridLines="0" tabSelected="1" workbookViewId="0">
      <pane ySplit="1" topLeftCell="A2" activePane="bottomLeft" state="frozenSplit"/>
      <selection pane="bottomLeft" activeCell="F5" sqref="F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1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10" t="s">
        <v>16</v>
      </c>
      <c r="B1" s="11" t="s">
        <v>0</v>
      </c>
      <c r="C1" s="10" t="s">
        <v>1</v>
      </c>
      <c r="D1" s="10" t="s">
        <v>2</v>
      </c>
      <c r="E1" s="10" t="s">
        <v>3</v>
      </c>
      <c r="F1" s="11" t="s">
        <v>17</v>
      </c>
      <c r="G1" s="11" t="s">
        <v>4</v>
      </c>
      <c r="K1" s="12" t="s">
        <v>15</v>
      </c>
      <c r="L1" s="3">
        <f>SUM(L2:L45)</f>
        <v>393271.48634883197</v>
      </c>
    </row>
    <row r="2" spans="1:12" x14ac:dyDescent="0.35">
      <c r="A2" s="4" t="s">
        <v>20</v>
      </c>
      <c r="B2" s="5" t="s">
        <v>21</v>
      </c>
      <c r="C2" s="6">
        <v>23.643999999999998</v>
      </c>
      <c r="D2" s="7" t="s">
        <v>18</v>
      </c>
      <c r="E2" s="8">
        <v>506.24740000000003</v>
      </c>
      <c r="F2" s="15">
        <v>46081</v>
      </c>
      <c r="G2" s="13">
        <v>514.17999999999995</v>
      </c>
      <c r="L2" s="9">
        <f t="shared" ref="L2:L30" si="0">+C2*G2</f>
        <v>12157.271919999997</v>
      </c>
    </row>
    <row r="3" spans="1:12" x14ac:dyDescent="0.35">
      <c r="A3" s="4" t="s">
        <v>22</v>
      </c>
      <c r="B3" s="5" t="s">
        <v>23</v>
      </c>
      <c r="C3" s="6">
        <v>1739.742</v>
      </c>
      <c r="D3" s="7" t="s">
        <v>18</v>
      </c>
      <c r="E3" s="8">
        <v>5.8490000000000002</v>
      </c>
      <c r="F3" s="2">
        <f>+F2</f>
        <v>46081</v>
      </c>
      <c r="G3" s="14">
        <v>6.8780000000000001</v>
      </c>
      <c r="L3" s="9">
        <f t="shared" si="0"/>
        <v>11965.945476000001</v>
      </c>
    </row>
    <row r="4" spans="1:12" x14ac:dyDescent="0.35">
      <c r="A4" s="4" t="s">
        <v>24</v>
      </c>
      <c r="B4" s="5" t="s">
        <v>25</v>
      </c>
      <c r="C4" s="6">
        <v>364.09</v>
      </c>
      <c r="D4" s="7" t="s">
        <v>18</v>
      </c>
      <c r="E4" s="8">
        <v>18.447199999999999</v>
      </c>
      <c r="F4" s="2">
        <f t="shared" ref="F4:F30" si="1">+F3</f>
        <v>46081</v>
      </c>
      <c r="G4" s="14">
        <v>24.23</v>
      </c>
      <c r="L4" s="9">
        <f t="shared" si="0"/>
        <v>8821.9007000000001</v>
      </c>
    </row>
    <row r="5" spans="1:12" x14ac:dyDescent="0.35">
      <c r="A5" s="4" t="s">
        <v>26</v>
      </c>
      <c r="B5" s="5" t="s">
        <v>27</v>
      </c>
      <c r="C5" s="6">
        <v>150</v>
      </c>
      <c r="D5" s="7" t="s">
        <v>18</v>
      </c>
      <c r="E5" s="8">
        <v>100.3967</v>
      </c>
      <c r="F5" s="2">
        <f t="shared" si="1"/>
        <v>46081</v>
      </c>
      <c r="G5" s="14">
        <v>100.76</v>
      </c>
      <c r="K5" s="9"/>
      <c r="L5" s="9">
        <f t="shared" si="0"/>
        <v>15114</v>
      </c>
    </row>
    <row r="6" spans="1:12" x14ac:dyDescent="0.35">
      <c r="A6" s="4" t="s">
        <v>8</v>
      </c>
      <c r="B6" s="5" t="s">
        <v>28</v>
      </c>
      <c r="C6" s="6">
        <v>110</v>
      </c>
      <c r="D6" s="7" t="s">
        <v>18</v>
      </c>
      <c r="E6" s="8">
        <v>91.193799999999996</v>
      </c>
      <c r="F6" s="2">
        <f t="shared" si="1"/>
        <v>46081</v>
      </c>
      <c r="G6" s="14">
        <v>83.23</v>
      </c>
      <c r="K6" s="9"/>
      <c r="L6" s="9">
        <f t="shared" si="0"/>
        <v>9155.3000000000011</v>
      </c>
    </row>
    <row r="7" spans="1:12" x14ac:dyDescent="0.35">
      <c r="A7" s="4" t="s">
        <v>8</v>
      </c>
      <c r="B7" s="5" t="s">
        <v>13</v>
      </c>
      <c r="C7" s="6">
        <v>105</v>
      </c>
      <c r="D7" s="7" t="s">
        <v>18</v>
      </c>
      <c r="E7" s="8">
        <v>97.565299999999993</v>
      </c>
      <c r="F7" s="2">
        <f t="shared" si="1"/>
        <v>46081</v>
      </c>
      <c r="G7" s="14">
        <v>89</v>
      </c>
      <c r="K7" s="9"/>
      <c r="L7" s="9">
        <f t="shared" si="0"/>
        <v>9345</v>
      </c>
    </row>
    <row r="8" spans="1:12" x14ac:dyDescent="0.35">
      <c r="A8" s="4" t="s">
        <v>29</v>
      </c>
      <c r="B8" s="5" t="s">
        <v>30</v>
      </c>
      <c r="C8" s="6">
        <v>150</v>
      </c>
      <c r="D8" s="7" t="s">
        <v>18</v>
      </c>
      <c r="E8" s="8">
        <v>99.236699999999999</v>
      </c>
      <c r="F8" s="2">
        <f t="shared" si="1"/>
        <v>46081</v>
      </c>
      <c r="G8" s="14">
        <v>90</v>
      </c>
      <c r="L8" s="9">
        <f t="shared" si="0"/>
        <v>13500</v>
      </c>
    </row>
    <row r="9" spans="1:12" x14ac:dyDescent="0.35">
      <c r="A9" s="4" t="s">
        <v>31</v>
      </c>
      <c r="B9" s="5" t="s">
        <v>32</v>
      </c>
      <c r="C9" s="6">
        <v>10</v>
      </c>
      <c r="D9" s="7" t="s">
        <v>18</v>
      </c>
      <c r="E9" s="8">
        <v>904.20500000000004</v>
      </c>
      <c r="F9" s="2">
        <f t="shared" si="1"/>
        <v>46081</v>
      </c>
      <c r="G9" s="14">
        <v>521.47</v>
      </c>
      <c r="K9" s="9"/>
      <c r="L9" s="9">
        <f t="shared" si="0"/>
        <v>5214.7000000000007</v>
      </c>
    </row>
    <row r="10" spans="1:12" x14ac:dyDescent="0.35">
      <c r="A10" s="4" t="s">
        <v>33</v>
      </c>
      <c r="B10" s="5" t="s">
        <v>34</v>
      </c>
      <c r="C10" s="6">
        <v>11</v>
      </c>
      <c r="D10" s="7" t="s">
        <v>18</v>
      </c>
      <c r="E10" s="8">
        <v>986.06179999999995</v>
      </c>
      <c r="F10" s="2">
        <f t="shared" si="1"/>
        <v>46081</v>
      </c>
      <c r="G10" s="14">
        <v>713.75</v>
      </c>
      <c r="L10" s="9">
        <f t="shared" si="0"/>
        <v>7851.25</v>
      </c>
    </row>
    <row r="11" spans="1:12" x14ac:dyDescent="0.35">
      <c r="A11" s="4" t="s">
        <v>35</v>
      </c>
      <c r="B11" s="5" t="s">
        <v>36</v>
      </c>
      <c r="C11" s="6">
        <v>59.204999999999998</v>
      </c>
      <c r="D11" s="7" t="s">
        <v>18</v>
      </c>
      <c r="E11" s="8">
        <v>253.0189</v>
      </c>
      <c r="F11" s="2">
        <f t="shared" si="1"/>
        <v>46081</v>
      </c>
      <c r="G11" s="14">
        <v>292.37</v>
      </c>
      <c r="L11" s="9">
        <f t="shared" si="0"/>
        <v>17309.76585</v>
      </c>
    </row>
    <row r="12" spans="1:12" x14ac:dyDescent="0.35">
      <c r="A12" s="4" t="s">
        <v>37</v>
      </c>
      <c r="B12" s="5" t="s">
        <v>38</v>
      </c>
      <c r="C12" s="6">
        <v>46.465000000000003</v>
      </c>
      <c r="D12" s="7" t="s">
        <v>18</v>
      </c>
      <c r="E12" s="8">
        <v>236.52</v>
      </c>
      <c r="F12" s="2">
        <f t="shared" si="1"/>
        <v>46081</v>
      </c>
      <c r="G12" s="14">
        <v>283.99</v>
      </c>
      <c r="L12" s="9">
        <f t="shared" si="0"/>
        <v>13195.595350000001</v>
      </c>
    </row>
    <row r="13" spans="1:12" x14ac:dyDescent="0.35">
      <c r="A13" s="4" t="s">
        <v>39</v>
      </c>
      <c r="B13" s="5" t="s">
        <v>40</v>
      </c>
      <c r="C13" s="6">
        <v>151.94900000000001</v>
      </c>
      <c r="D13" s="7" t="s">
        <v>18</v>
      </c>
      <c r="E13" s="8">
        <v>164.39670000000001</v>
      </c>
      <c r="F13" s="2">
        <f t="shared" si="1"/>
        <v>46081</v>
      </c>
      <c r="G13" s="14">
        <v>190.35</v>
      </c>
      <c r="L13" s="9">
        <f t="shared" si="0"/>
        <v>28923.492150000002</v>
      </c>
    </row>
    <row r="14" spans="1:12" x14ac:dyDescent="0.35">
      <c r="A14" s="4" t="s">
        <v>41</v>
      </c>
      <c r="B14" s="5" t="s">
        <v>42</v>
      </c>
      <c r="C14" s="6">
        <v>1058.7619999999999</v>
      </c>
      <c r="D14" s="7" t="s">
        <v>18</v>
      </c>
      <c r="E14" s="8">
        <v>9.9169999999999998</v>
      </c>
      <c r="F14" s="2">
        <f t="shared" si="1"/>
        <v>46081</v>
      </c>
      <c r="G14" s="14">
        <v>12.17</v>
      </c>
      <c r="L14" s="9">
        <f t="shared" si="0"/>
        <v>12885.133539999999</v>
      </c>
    </row>
    <row r="15" spans="1:12" x14ac:dyDescent="0.35">
      <c r="A15" s="4" t="s">
        <v>43</v>
      </c>
      <c r="B15" s="5" t="s">
        <v>44</v>
      </c>
      <c r="C15" s="6">
        <v>962.96799999999996</v>
      </c>
      <c r="D15" s="7" t="s">
        <v>18</v>
      </c>
      <c r="E15" s="8">
        <v>6.2480000000000002</v>
      </c>
      <c r="F15" s="2">
        <f t="shared" si="1"/>
        <v>46081</v>
      </c>
      <c r="G15" s="14">
        <v>7.3049999999999997</v>
      </c>
      <c r="L15" s="9">
        <f t="shared" si="0"/>
        <v>7034.4812399999992</v>
      </c>
    </row>
    <row r="16" spans="1:12" x14ac:dyDescent="0.35">
      <c r="A16" s="4" t="s">
        <v>45</v>
      </c>
      <c r="B16" s="5" t="s">
        <v>46</v>
      </c>
      <c r="C16" s="6">
        <v>993.46</v>
      </c>
      <c r="D16" s="7" t="s">
        <v>18</v>
      </c>
      <c r="E16" s="8">
        <v>22.583600000000001</v>
      </c>
      <c r="F16" s="2">
        <f t="shared" si="1"/>
        <v>46081</v>
      </c>
      <c r="G16" s="14">
        <v>16.45</v>
      </c>
      <c r="L16" s="9">
        <f t="shared" si="0"/>
        <v>16342.416999999999</v>
      </c>
    </row>
    <row r="17" spans="1:12" x14ac:dyDescent="0.35">
      <c r="A17" s="4" t="s">
        <v>47</v>
      </c>
      <c r="B17" s="5" t="s">
        <v>48</v>
      </c>
      <c r="C17" s="6">
        <v>423.15</v>
      </c>
      <c r="D17" s="7" t="s">
        <v>18</v>
      </c>
      <c r="E17" s="8">
        <v>22.7121</v>
      </c>
      <c r="F17" s="2">
        <f t="shared" si="1"/>
        <v>46081</v>
      </c>
      <c r="G17" s="14">
        <v>27.63</v>
      </c>
      <c r="L17" s="9">
        <f t="shared" si="0"/>
        <v>11691.634499999998</v>
      </c>
    </row>
    <row r="18" spans="1:12" x14ac:dyDescent="0.35">
      <c r="A18" s="4" t="s">
        <v>9</v>
      </c>
      <c r="B18" s="5" t="s">
        <v>14</v>
      </c>
      <c r="C18" s="6">
        <v>250</v>
      </c>
      <c r="D18" s="7" t="s">
        <v>18</v>
      </c>
      <c r="E18" s="8">
        <v>39.916699999999999</v>
      </c>
      <c r="F18" s="2">
        <f t="shared" si="1"/>
        <v>46081</v>
      </c>
      <c r="G18" s="14">
        <v>47.625</v>
      </c>
      <c r="L18" s="9">
        <f t="shared" si="0"/>
        <v>11906.25</v>
      </c>
    </row>
    <row r="19" spans="1:12" x14ac:dyDescent="0.35">
      <c r="A19" s="4" t="s">
        <v>5</v>
      </c>
      <c r="B19" s="5" t="s">
        <v>10</v>
      </c>
      <c r="C19" s="6">
        <v>70</v>
      </c>
      <c r="D19" s="7" t="s">
        <v>18</v>
      </c>
      <c r="E19" s="8">
        <v>100.5106</v>
      </c>
      <c r="F19" s="2">
        <f t="shared" si="1"/>
        <v>46081</v>
      </c>
      <c r="G19" s="14">
        <v>113.58</v>
      </c>
      <c r="L19" s="9">
        <f t="shared" si="0"/>
        <v>7950.5999999999995</v>
      </c>
    </row>
    <row r="20" spans="1:12" x14ac:dyDescent="0.35">
      <c r="A20" s="4" t="s">
        <v>49</v>
      </c>
      <c r="B20" s="5" t="s">
        <v>50</v>
      </c>
      <c r="C20" s="6">
        <v>33.834000000000003</v>
      </c>
      <c r="D20" s="7" t="s">
        <v>18</v>
      </c>
      <c r="E20" s="8">
        <v>227.53</v>
      </c>
      <c r="F20" s="2">
        <f t="shared" si="1"/>
        <v>46081</v>
      </c>
      <c r="G20" s="14">
        <v>311.58999999999997</v>
      </c>
      <c r="L20" s="9">
        <f t="shared" si="0"/>
        <v>10542.33606</v>
      </c>
    </row>
    <row r="21" spans="1:12" x14ac:dyDescent="0.35">
      <c r="A21" s="4" t="s">
        <v>51</v>
      </c>
      <c r="B21" s="5" t="s">
        <v>52</v>
      </c>
      <c r="C21" s="6">
        <v>78</v>
      </c>
      <c r="D21" s="7" t="s">
        <v>18</v>
      </c>
      <c r="E21" s="8">
        <v>105.6832</v>
      </c>
      <c r="F21" s="2">
        <f t="shared" si="1"/>
        <v>46081</v>
      </c>
      <c r="G21" s="14">
        <v>105.06</v>
      </c>
      <c r="L21" s="9">
        <f t="shared" si="0"/>
        <v>8194.68</v>
      </c>
    </row>
    <row r="22" spans="1:12" x14ac:dyDescent="0.35">
      <c r="A22" s="4" t="s">
        <v>53</v>
      </c>
      <c r="B22" s="5" t="s">
        <v>54</v>
      </c>
      <c r="C22" s="6">
        <v>6970.3670000000002</v>
      </c>
      <c r="D22" s="7" t="s">
        <v>18</v>
      </c>
      <c r="E22" s="8">
        <v>5.0183999999999997</v>
      </c>
      <c r="F22" s="2">
        <f t="shared" si="1"/>
        <v>46081</v>
      </c>
      <c r="G22" s="14">
        <v>5.6959999999999997</v>
      </c>
      <c r="L22" s="9">
        <f t="shared" si="0"/>
        <v>39703.210432</v>
      </c>
    </row>
    <row r="23" spans="1:12" x14ac:dyDescent="0.35">
      <c r="A23" s="4" t="s">
        <v>55</v>
      </c>
      <c r="B23" s="5" t="s">
        <v>56</v>
      </c>
      <c r="C23" s="6">
        <v>573.66899999999998</v>
      </c>
      <c r="D23" s="7" t="s">
        <v>18</v>
      </c>
      <c r="E23" s="8">
        <v>31.342099999999999</v>
      </c>
      <c r="F23" s="2">
        <f t="shared" si="1"/>
        <v>46081</v>
      </c>
      <c r="G23" s="14">
        <v>35.130000000000003</v>
      </c>
      <c r="L23" s="9">
        <f t="shared" si="0"/>
        <v>20152.991969999999</v>
      </c>
    </row>
    <row r="24" spans="1:12" x14ac:dyDescent="0.35">
      <c r="A24" s="4" t="s">
        <v>6</v>
      </c>
      <c r="B24" s="5" t="s">
        <v>11</v>
      </c>
      <c r="C24" s="6">
        <v>95.162000000000006</v>
      </c>
      <c r="D24" s="7" t="s">
        <v>19</v>
      </c>
      <c r="E24" s="8">
        <v>187.31389999999999</v>
      </c>
      <c r="F24" s="2">
        <f t="shared" si="1"/>
        <v>46081</v>
      </c>
      <c r="G24" s="14">
        <v>175.40793600000001</v>
      </c>
      <c r="L24" s="9">
        <f t="shared" si="0"/>
        <v>16692.170005632001</v>
      </c>
    </row>
    <row r="25" spans="1:12" x14ac:dyDescent="0.35">
      <c r="A25" s="4" t="s">
        <v>57</v>
      </c>
      <c r="B25" s="5" t="s">
        <v>58</v>
      </c>
      <c r="C25" s="6">
        <v>132.68199999999999</v>
      </c>
      <c r="D25" s="7" t="s">
        <v>18</v>
      </c>
      <c r="E25" s="8">
        <v>133.99940000000001</v>
      </c>
      <c r="F25" s="2">
        <f t="shared" si="1"/>
        <v>46081</v>
      </c>
      <c r="G25" s="14">
        <v>148.52680000000001</v>
      </c>
      <c r="L25" s="9">
        <f t="shared" si="0"/>
        <v>19706.832877599998</v>
      </c>
    </row>
    <row r="26" spans="1:12" x14ac:dyDescent="0.35">
      <c r="A26" s="4" t="s">
        <v>7</v>
      </c>
      <c r="B26" s="5" t="s">
        <v>12</v>
      </c>
      <c r="C26" s="6">
        <v>69.063999999999993</v>
      </c>
      <c r="D26" s="7" t="s">
        <v>18</v>
      </c>
      <c r="E26" s="8">
        <v>178.98509999999999</v>
      </c>
      <c r="F26" s="2">
        <f t="shared" si="1"/>
        <v>46081</v>
      </c>
      <c r="G26" s="14">
        <v>211.45590000000001</v>
      </c>
      <c r="L26" s="9">
        <f t="shared" si="0"/>
        <v>14603.9902776</v>
      </c>
    </row>
    <row r="27" spans="1:12" x14ac:dyDescent="0.35">
      <c r="A27" s="4" t="s">
        <v>59</v>
      </c>
      <c r="B27" s="5" t="s">
        <v>60</v>
      </c>
      <c r="C27" s="6">
        <v>150</v>
      </c>
      <c r="D27" s="7" t="s">
        <v>18</v>
      </c>
      <c r="E27" s="8">
        <v>40.496299999999998</v>
      </c>
      <c r="F27" s="2">
        <f t="shared" si="1"/>
        <v>46081</v>
      </c>
      <c r="G27" s="14">
        <v>53.07</v>
      </c>
      <c r="L27" s="9">
        <f t="shared" si="0"/>
        <v>7960.5</v>
      </c>
    </row>
    <row r="28" spans="1:12" x14ac:dyDescent="0.35">
      <c r="A28" s="4" t="s">
        <v>61</v>
      </c>
      <c r="B28" s="5" t="s">
        <v>62</v>
      </c>
      <c r="C28" s="6">
        <v>99.9</v>
      </c>
      <c r="D28" s="7" t="s">
        <v>18</v>
      </c>
      <c r="E28" s="8">
        <v>100</v>
      </c>
      <c r="F28" s="2">
        <f t="shared" si="1"/>
        <v>46081</v>
      </c>
      <c r="G28" s="14">
        <v>105.83</v>
      </c>
      <c r="L28" s="9">
        <f t="shared" si="0"/>
        <v>10572.417000000001</v>
      </c>
    </row>
    <row r="29" spans="1:12" x14ac:dyDescent="0.35">
      <c r="A29" s="4" t="s">
        <v>63</v>
      </c>
      <c r="B29" s="5" t="s">
        <v>64</v>
      </c>
      <c r="C29" s="6">
        <v>210</v>
      </c>
      <c r="D29" s="7" t="s">
        <v>18</v>
      </c>
      <c r="E29" s="8">
        <v>49.055799999999998</v>
      </c>
      <c r="F29" s="2">
        <f t="shared" si="1"/>
        <v>46081</v>
      </c>
      <c r="G29" s="14">
        <v>60.82</v>
      </c>
      <c r="L29" s="9">
        <f t="shared" si="0"/>
        <v>12772.2</v>
      </c>
    </row>
    <row r="30" spans="1:12" x14ac:dyDescent="0.35">
      <c r="A30" s="4" t="s">
        <v>65</v>
      </c>
      <c r="B30" s="5" t="s">
        <v>66</v>
      </c>
      <c r="C30" s="6">
        <v>203</v>
      </c>
      <c r="D30" s="7" t="s">
        <v>18</v>
      </c>
      <c r="E30" s="8">
        <v>35.979500000000002</v>
      </c>
      <c r="F30" s="2">
        <f t="shared" si="1"/>
        <v>46081</v>
      </c>
      <c r="G30" s="14">
        <v>59.14</v>
      </c>
      <c r="L30" s="9">
        <f t="shared" si="0"/>
        <v>12005.42</v>
      </c>
    </row>
  </sheetData>
  <autoFilter ref="A1:G30" xr:uid="{840B4B52-5CB9-41B5-89C1-B1D0A0795C06}">
    <sortState xmlns:xlrd2="http://schemas.microsoft.com/office/spreadsheetml/2017/richdata2" ref="A2:G30">
      <sortCondition ref="A1:A30"/>
    </sortState>
  </autoFilter>
  <conditionalFormatting sqref="A2:A30">
    <cfRule type="expression" dxfId="8" priority="3" stopIfTrue="1">
      <formula>IF(AND(ISNUMBER(SEARCH("H2O", A2)), ISNUMBER(SEARCH("SP", A2))), 1,0)</formula>
    </cfRule>
    <cfRule type="containsText" dxfId="7" priority="4" stopIfTrue="1" operator="containsText" text="BTP">
      <formula>NOT(ISERROR(SEARCH("BTP",A2)))</formula>
    </cfRule>
  </conditionalFormatting>
  <conditionalFormatting sqref="D2:D30">
    <cfRule type="notContainsText" dxfId="5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2026-02-28T11:59:41Z</dcterms:modified>
</cp:coreProperties>
</file>