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3NOMI\"/>
    </mc:Choice>
  </mc:AlternateContent>
  <xr:revisionPtr revIDLastSave="0" documentId="13_ncr:1_{8D467DBF-C5D0-4A47-8ED5-FE0E153BEE2A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E28" i="1"/>
  <c r="E34" i="1"/>
  <c r="E26" i="1"/>
  <c r="I14" i="1"/>
  <c r="I20" i="1"/>
  <c r="I13" i="1"/>
  <c r="I30" i="1"/>
  <c r="I10" i="1"/>
  <c r="I19" i="1"/>
  <c r="I16" i="1"/>
  <c r="I11" i="1"/>
  <c r="I17" i="1"/>
  <c r="I27" i="1"/>
  <c r="I12" i="1"/>
  <c r="I9" i="1"/>
  <c r="I18" i="1"/>
  <c r="I24" i="1"/>
  <c r="I15" i="1"/>
  <c r="I36" i="1"/>
  <c r="I25" i="1"/>
  <c r="I4" i="1"/>
  <c r="I3" i="1"/>
  <c r="I5" i="1"/>
  <c r="I23" i="1"/>
  <c r="I2" i="1"/>
  <c r="I21" i="1"/>
  <c r="I29" i="1"/>
  <c r="I7" i="1"/>
  <c r="I33" i="1"/>
  <c r="I35" i="1"/>
  <c r="I32" i="1"/>
  <c r="I31" i="1"/>
  <c r="I8" i="1"/>
  <c r="I22" i="1"/>
</calcChain>
</file>

<file path=xl/sharedStrings.xml><?xml version="1.0" encoding="utf-8"?>
<sst xmlns="http://schemas.openxmlformats.org/spreadsheetml/2006/main" count="218" uniqueCount="93">
  <si>
    <t>ISIN</t>
  </si>
  <si>
    <t>Quantità</t>
  </si>
  <si>
    <t>Divisa</t>
  </si>
  <si>
    <t>Data (acquisto/vendita)</t>
  </si>
  <si>
    <t>Operazione</t>
  </si>
  <si>
    <t>EUR</t>
  </si>
  <si>
    <t>Prezzo Operazione (EUR)</t>
  </si>
  <si>
    <t>Acquisto</t>
  </si>
  <si>
    <t>ISHS MSCI WORLD EUR</t>
  </si>
  <si>
    <t>MSIF GL BRDS AC</t>
  </si>
  <si>
    <t>N1 EUR BANK D BP EUR</t>
  </si>
  <si>
    <t>IE00B4L5Y983</t>
  </si>
  <si>
    <t>LU0119620416</t>
  </si>
  <si>
    <t>LU0772944145</t>
  </si>
  <si>
    <t>USD</t>
  </si>
  <si>
    <t>XS3174997521</t>
  </si>
  <si>
    <t>IE000UL6CLP7</t>
  </si>
  <si>
    <t>BSKT/BNPI 28</t>
  </si>
  <si>
    <t>GLB X SILV USD-A EUR</t>
  </si>
  <si>
    <t>Controvalore (EUR)</t>
  </si>
  <si>
    <t>Fondo Azionario</t>
  </si>
  <si>
    <t>Fondo Obbligazionario</t>
  </si>
  <si>
    <t>Tipologia</t>
  </si>
  <si>
    <t>Certificato</t>
  </si>
  <si>
    <t>Descrizione Asset</t>
  </si>
  <si>
    <t>Note</t>
  </si>
  <si>
    <t>ACMB IL HEALTH C EUR</t>
  </si>
  <si>
    <t>ANIMA TRICOL A</t>
  </si>
  <si>
    <t>BGF WLD ENERG E2 EUR</t>
  </si>
  <si>
    <t>BPA CC E28</t>
  </si>
  <si>
    <t>BSKT/BNPI 28 0.85%</t>
  </si>
  <si>
    <t>BSKT/LEON 27</t>
  </si>
  <si>
    <t>BSKT/LEON 29</t>
  </si>
  <si>
    <t>CAN BD GL HY CC  EUR</t>
  </si>
  <si>
    <t>D INV I C SECT LCC</t>
  </si>
  <si>
    <t>DWS CONC KALDEM  EUR</t>
  </si>
  <si>
    <t>EURIZON OB E HY</t>
  </si>
  <si>
    <t>EURIZON OB EC</t>
  </si>
  <si>
    <t>FID CHINA CONS E EUR</t>
  </si>
  <si>
    <t>FID GLO DEMO E EUH A</t>
  </si>
  <si>
    <t>JPMIF GL DIV AC  EUR</t>
  </si>
  <si>
    <t>LIF EM 1-3YIBGB  EUR</t>
  </si>
  <si>
    <t>MB MFS PRUD CAP K AC</t>
  </si>
  <si>
    <t>MSI EU C B D H"A"ACC</t>
  </si>
  <si>
    <t>N1 EU CR CRED BP EUR</t>
  </si>
  <si>
    <t>TC MOR HIGH DIV  EUR</t>
  </si>
  <si>
    <t>U ACCESS SICAV - EUR</t>
  </si>
  <si>
    <t>VAN VEC SE USD-A EUR</t>
  </si>
  <si>
    <t>VANECK DEFENSE EUR</t>
  </si>
  <si>
    <t>LU0251853072</t>
  </si>
  <si>
    <t>IT0005186082</t>
  </si>
  <si>
    <t>LU0171304552</t>
  </si>
  <si>
    <t>NLBNPIT2OWW8</t>
  </si>
  <si>
    <t>XS3124062178</t>
  </si>
  <si>
    <t>XS3174995152</t>
  </si>
  <si>
    <t>CH1290280945</t>
  </si>
  <si>
    <t>CH1467578527</t>
  </si>
  <si>
    <t>LU0170291933</t>
  </si>
  <si>
    <t>LU1278917452</t>
  </si>
  <si>
    <t>LU0599946893</t>
  </si>
  <si>
    <t>IT0001280541</t>
  </si>
  <si>
    <t>IT0003459473</t>
  </si>
  <si>
    <t>LU0766124126</t>
  </si>
  <si>
    <t>LU0528228157</t>
  </si>
  <si>
    <t>LU0329202252</t>
  </si>
  <si>
    <t>LU1598691050</t>
  </si>
  <si>
    <t>IT0005444754</t>
  </si>
  <si>
    <t>LU1832969650</t>
  </si>
  <si>
    <t>LU0733673288</t>
  </si>
  <si>
    <t>NL0011683594</t>
  </si>
  <si>
    <t>LU2695671391</t>
  </si>
  <si>
    <t>IE00BMC38736</t>
  </si>
  <si>
    <t>IE000YYE6WK5</t>
  </si>
  <si>
    <t>ETF Azionario</t>
  </si>
  <si>
    <t>ETF Obbligazionario</t>
  </si>
  <si>
    <t>IT0005597999</t>
  </si>
  <si>
    <t>IT0005630253</t>
  </si>
  <si>
    <t>LU0119620507</t>
  </si>
  <si>
    <t>BSKT/MEDI 28</t>
  </si>
  <si>
    <t>MEDIOBANCA AB N</t>
  </si>
  <si>
    <t>MSIF Global Brands B EUR</t>
  </si>
  <si>
    <t>NLBNPIT2CPZ0</t>
  </si>
  <si>
    <t>DE000VG2U9L9</t>
  </si>
  <si>
    <t>VON EXPE27</t>
  </si>
  <si>
    <t xml:space="preserve">DE000VG7YZL5 </t>
  </si>
  <si>
    <t/>
  </si>
  <si>
    <t>Venduto 07/01/2026 (558 gg)</t>
  </si>
  <si>
    <t>Venduto 11/03/2025 (155 gg)</t>
  </si>
  <si>
    <t>Venduto 20/11/2025 (280 gg)</t>
  </si>
  <si>
    <t>Venduto 18/07/2025 (126 gg)</t>
  </si>
  <si>
    <t>Venduto 23/09/2025 (132 gg)</t>
  </si>
  <si>
    <t>Venduto 20/01/2026 (40 gg)</t>
  </si>
  <si>
    <t>Venduto parz. 05/02/2025 (489 gg)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</si>
</sst>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;\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gray0625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3" xfId="0" applyNumberFormat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#,##0.00;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gray0625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J36" totalsRowShown="0" headerRowDxfId="61" dataDxfId="60" tableBorderDxfId="59">
  <autoFilter ref="A1:J36" xr:uid="{04F4BF02-F5A0-427F-92C4-A60283CF04F1}"/>
  <sortState xmlns:xlrd2="http://schemas.microsoft.com/office/spreadsheetml/2017/richdata2" ref="A2:J36">
    <sortCondition ref="D1:D36"/>
  </sortState>
  <tableColumns count="10">
    <tableColumn id="2" xr3:uid="{C4CDF0AD-2602-44A7-AA26-292542A274A0}" name="ISIN" dataDxfId="58"/>
    <tableColumn id="1" xr3:uid="{B8061C36-8993-4203-ABD6-C7BF7558D40C}" name="Descrizione Asset" dataDxfId="57"/>
    <tableColumn id="3" xr3:uid="{0A18EC50-C250-41F4-83C1-E84B3FDD76A5}" name="Quantità" dataDxfId="56"/>
    <tableColumn id="6" xr3:uid="{1CC3BD49-EF04-4684-84DC-5AB42F08A1CD}" name="Data (acquisto/vendita)" dataDxfId="55"/>
    <tableColumn id="8" xr3:uid="{8C52C664-8EA8-4E89-892F-C9CCC6BB2E54}" name="Prezzo Operazione (EUR)" dataDxfId="54"/>
    <tableColumn id="11" xr3:uid="{8B0704F8-8C2E-42BE-A30C-03EF7C2730A1}" name="Tipologia" dataDxfId="53"/>
    <tableColumn id="7" xr3:uid="{0B72A75D-196B-42C0-9E49-163198DF8CDB}" name="Operazione" dataDxfId="52"/>
    <tableColumn id="4" xr3:uid="{F21CA34D-52E3-4C7A-A959-24C01F694687}" name="Divisa" dataDxfId="51"/>
    <tableColumn id="10" xr3:uid="{7F8241B6-2FCB-4564-8F24-4D4146A82E8B}" name="Controvalore (EUR)" dataDxfId="50">
      <calculatedColumnFormula>+Table1[[#This Row],[Quantità]]*Table1[[#This Row],[Prezzo Operazione (EUR)]]</calculatedColumnFormula>
    </tableColumn>
    <tableColumn id="5" xr3:uid="{4BB24666-6DBD-4CCB-B492-4786A2A04F01}" name="Note" dataDxfId="4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sheetPr codeName="Sheet1"/>
  <dimension ref="A1:J36"/>
  <sheetViews>
    <sheetView showGridLines="0" tabSelected="1" zoomScaleNormal="100" workbookViewId="0">
      <selection activeCell="A46" sqref="A46"/>
    </sheetView>
  </sheetViews>
  <sheetFormatPr defaultRowHeight="14.5" x14ac:dyDescent="0.35"/>
  <cols>
    <col min="1" max="1" width="15.81640625" style="19" customWidth="1"/>
    <col min="2" max="2" width="29.453125" style="19" bestFit="1" customWidth="1"/>
    <col min="3" max="3" width="12.54296875" style="19" bestFit="1" customWidth="1"/>
    <col min="4" max="4" width="25.7265625" style="19" customWidth="1"/>
    <col min="5" max="5" width="23" style="19" bestFit="1" customWidth="1"/>
    <col min="6" max="6" width="21.453125" style="19" bestFit="1" customWidth="1"/>
    <col min="7" max="7" width="15.81640625" style="19" bestFit="1" customWidth="1"/>
    <col min="8" max="8" width="10.54296875" style="19" bestFit="1" customWidth="1"/>
    <col min="9" max="9" width="21.26953125" style="19" bestFit="1" customWidth="1"/>
    <col min="10" max="10" width="30" style="21" customWidth="1"/>
    <col min="11" max="11" width="10.08984375" bestFit="1" customWidth="1"/>
    <col min="12" max="12" width="19.81640625" bestFit="1" customWidth="1"/>
    <col min="13" max="13" width="11.81640625" bestFit="1" customWidth="1"/>
    <col min="14" max="14" width="10.7265625" bestFit="1" customWidth="1"/>
    <col min="16" max="16" width="7.54296875" bestFit="1" customWidth="1"/>
  </cols>
  <sheetData>
    <row r="1" spans="1:10" x14ac:dyDescent="0.35">
      <c r="A1" s="7" t="s">
        <v>0</v>
      </c>
      <c r="B1" s="8" t="s">
        <v>24</v>
      </c>
      <c r="C1" s="7" t="s">
        <v>1</v>
      </c>
      <c r="D1" s="8" t="s">
        <v>3</v>
      </c>
      <c r="E1" s="8" t="s">
        <v>6</v>
      </c>
      <c r="F1" s="8" t="s">
        <v>22</v>
      </c>
      <c r="G1" s="8" t="s">
        <v>4</v>
      </c>
      <c r="H1" s="9" t="s">
        <v>2</v>
      </c>
      <c r="I1" s="9" t="s">
        <v>19</v>
      </c>
      <c r="J1" s="20" t="s">
        <v>25</v>
      </c>
    </row>
    <row r="2" spans="1:10" x14ac:dyDescent="0.35">
      <c r="A2" s="14" t="s">
        <v>58</v>
      </c>
      <c r="B2" s="12" t="s">
        <v>34</v>
      </c>
      <c r="C2" s="10">
        <v>46.465000000000003</v>
      </c>
      <c r="D2" s="11">
        <v>45292</v>
      </c>
      <c r="E2" s="10">
        <v>244.47</v>
      </c>
      <c r="F2" s="6" t="s">
        <v>20</v>
      </c>
      <c r="G2" s="12" t="s">
        <v>7</v>
      </c>
      <c r="H2" s="1" t="s">
        <v>5</v>
      </c>
      <c r="I2" s="13">
        <f>+Table1[[#This Row],[Quantità]]*Table1[[#This Row],[Prezzo Operazione (EUR)]]</f>
        <v>11359.298550000001</v>
      </c>
      <c r="J2" s="2" t="s">
        <v>85</v>
      </c>
    </row>
    <row r="3" spans="1:10" x14ac:dyDescent="0.35">
      <c r="A3" s="14" t="s">
        <v>61</v>
      </c>
      <c r="B3" s="12" t="s">
        <v>37</v>
      </c>
      <c r="C3" s="10">
        <v>962.96799999999996</v>
      </c>
      <c r="D3" s="11">
        <v>45292</v>
      </c>
      <c r="E3" s="10">
        <v>6.7380000000000004</v>
      </c>
      <c r="F3" s="6" t="s">
        <v>21</v>
      </c>
      <c r="G3" s="12" t="s">
        <v>7</v>
      </c>
      <c r="H3" s="1" t="s">
        <v>5</v>
      </c>
      <c r="I3" s="13">
        <f>+Table1[[#This Row],[Quantità]]*Table1[[#This Row],[Prezzo Operazione (EUR)]]</f>
        <v>6488.478384</v>
      </c>
      <c r="J3" s="2" t="s">
        <v>85</v>
      </c>
    </row>
    <row r="4" spans="1:10" x14ac:dyDescent="0.35">
      <c r="A4" s="14" t="s">
        <v>62</v>
      </c>
      <c r="B4" s="12" t="s">
        <v>38</v>
      </c>
      <c r="C4" s="10">
        <v>993.46</v>
      </c>
      <c r="D4" s="11">
        <v>45292</v>
      </c>
      <c r="E4" s="10">
        <v>15.09</v>
      </c>
      <c r="F4" s="6" t="s">
        <v>20</v>
      </c>
      <c r="G4" s="12" t="s">
        <v>7</v>
      </c>
      <c r="H4" s="1" t="s">
        <v>5</v>
      </c>
      <c r="I4" s="13">
        <f>+Table1[[#This Row],[Quantità]]*Table1[[#This Row],[Prezzo Operazione (EUR)]]</f>
        <v>14991.311400000001</v>
      </c>
      <c r="J4" s="2" t="s">
        <v>85</v>
      </c>
    </row>
    <row r="5" spans="1:10" x14ac:dyDescent="0.35">
      <c r="A5" s="14" t="s">
        <v>60</v>
      </c>
      <c r="B5" s="12" t="s">
        <v>36</v>
      </c>
      <c r="C5" s="10">
        <v>1058.7619999999999</v>
      </c>
      <c r="D5" s="11">
        <v>45292</v>
      </c>
      <c r="E5" s="10">
        <v>10.757</v>
      </c>
      <c r="F5" s="6" t="s">
        <v>21</v>
      </c>
      <c r="G5" s="12" t="s">
        <v>7</v>
      </c>
      <c r="H5" s="1" t="s">
        <v>5</v>
      </c>
      <c r="I5" s="13">
        <f>+Table1[[#This Row],[Quantità]]*Table1[[#This Row],[Prezzo Operazione (EUR)]]</f>
        <v>11389.102833999999</v>
      </c>
      <c r="J5" s="2" t="s">
        <v>85</v>
      </c>
    </row>
    <row r="6" spans="1:10" x14ac:dyDescent="0.35">
      <c r="A6" s="14" t="s">
        <v>50</v>
      </c>
      <c r="B6" s="12" t="s">
        <v>27</v>
      </c>
      <c r="C6" s="10">
        <v>3419.39</v>
      </c>
      <c r="D6" s="11">
        <v>45292</v>
      </c>
      <c r="E6" s="10">
        <v>6.3239999999999998</v>
      </c>
      <c r="F6" s="6" t="s">
        <v>21</v>
      </c>
      <c r="G6" s="12" t="s">
        <v>7</v>
      </c>
      <c r="H6" s="1" t="s">
        <v>5</v>
      </c>
      <c r="I6" s="13">
        <f>+Table1[[#This Row],[Quantità]]*Table1[[#This Row],[Prezzo Operazione (EUR)]]</f>
        <v>21624.22236</v>
      </c>
      <c r="J6" s="2" t="s">
        <v>92</v>
      </c>
    </row>
    <row r="7" spans="1:10" x14ac:dyDescent="0.35">
      <c r="A7" s="14" t="s">
        <v>55</v>
      </c>
      <c r="B7" s="12" t="s">
        <v>31</v>
      </c>
      <c r="C7" s="10">
        <v>10</v>
      </c>
      <c r="D7" s="11">
        <v>45292</v>
      </c>
      <c r="E7" s="10">
        <v>904.20500000000004</v>
      </c>
      <c r="F7" s="6" t="s">
        <v>23</v>
      </c>
      <c r="G7" s="12" t="s">
        <v>7</v>
      </c>
      <c r="H7" s="1" t="s">
        <v>5</v>
      </c>
      <c r="I7" s="13">
        <f>+Table1[[#This Row],[Quantità]]*Table1[[#This Row],[Prezzo Operazione (EUR)]]</f>
        <v>9042.0500000000011</v>
      </c>
      <c r="J7" s="2" t="s">
        <v>85</v>
      </c>
    </row>
    <row r="8" spans="1:10" x14ac:dyDescent="0.35">
      <c r="A8" s="14" t="s">
        <v>51</v>
      </c>
      <c r="B8" s="12" t="s">
        <v>28</v>
      </c>
      <c r="C8" s="10">
        <v>364.09</v>
      </c>
      <c r="D8" s="11">
        <v>45295</v>
      </c>
      <c r="E8" s="10">
        <v>19.989999999999998</v>
      </c>
      <c r="F8" s="6" t="s">
        <v>20</v>
      </c>
      <c r="G8" s="12" t="s">
        <v>7</v>
      </c>
      <c r="H8" s="1" t="s">
        <v>5</v>
      </c>
      <c r="I8" s="13">
        <f>+Table1[[#This Row],[Quantità]]*Table1[[#This Row],[Prezzo Operazione (EUR)]]</f>
        <v>7278.1590999999989</v>
      </c>
      <c r="J8" s="2" t="s">
        <v>85</v>
      </c>
    </row>
    <row r="9" spans="1:10" x14ac:dyDescent="0.35">
      <c r="A9" s="14" t="s">
        <v>66</v>
      </c>
      <c r="B9" s="12" t="s">
        <v>42</v>
      </c>
      <c r="C9" s="10">
        <v>6970.3670000000002</v>
      </c>
      <c r="D9" s="11">
        <v>45322</v>
      </c>
      <c r="E9" s="12">
        <v>5.2859999999999996</v>
      </c>
      <c r="F9" s="6" t="s">
        <v>21</v>
      </c>
      <c r="G9" s="12" t="s">
        <v>7</v>
      </c>
      <c r="H9" s="1" t="s">
        <v>5</v>
      </c>
      <c r="I9" s="13">
        <f>+Table1[[#This Row],[Quantità]]*Table1[[#This Row],[Prezzo Operazione (EUR)]]</f>
        <v>36845.359961999995</v>
      </c>
      <c r="J9" s="2" t="s">
        <v>85</v>
      </c>
    </row>
    <row r="10" spans="1:10" x14ac:dyDescent="0.35">
      <c r="A10" s="14" t="s">
        <v>68</v>
      </c>
      <c r="B10" s="12" t="s">
        <v>44</v>
      </c>
      <c r="C10" s="10">
        <v>132.68199999999999</v>
      </c>
      <c r="D10" s="11">
        <v>45419</v>
      </c>
      <c r="E10" s="10">
        <v>133.99940000000001</v>
      </c>
      <c r="F10" s="4" t="s">
        <v>21</v>
      </c>
      <c r="G10" s="12" t="s">
        <v>7</v>
      </c>
      <c r="H10" s="1" t="s">
        <v>5</v>
      </c>
      <c r="I10" s="13">
        <f>+Table1[[#This Row],[Quantità]]*Table1[[#This Row],[Prezzo Operazione (EUR)]]</f>
        <v>17779.308390800001</v>
      </c>
      <c r="J10" s="2" t="s">
        <v>85</v>
      </c>
    </row>
    <row r="11" spans="1:10" x14ac:dyDescent="0.35">
      <c r="A11" s="14" t="s">
        <v>70</v>
      </c>
      <c r="B11" s="12" t="s">
        <v>46</v>
      </c>
      <c r="C11" s="10">
        <v>99.9</v>
      </c>
      <c r="D11" s="11">
        <v>45439</v>
      </c>
      <c r="E11" s="10">
        <v>100</v>
      </c>
      <c r="F11" s="4" t="s">
        <v>21</v>
      </c>
      <c r="G11" s="12" t="s">
        <v>7</v>
      </c>
      <c r="H11" s="1" t="s">
        <v>5</v>
      </c>
      <c r="I11" s="13">
        <f>+Table1[[#This Row],[Quantità]]*Table1[[#This Row],[Prezzo Operazione (EUR)]]</f>
        <v>9990</v>
      </c>
      <c r="J11" s="2" t="s">
        <v>85</v>
      </c>
    </row>
    <row r="12" spans="1:10" x14ac:dyDescent="0.35">
      <c r="A12" s="14" t="s">
        <v>67</v>
      </c>
      <c r="B12" s="12" t="s">
        <v>43</v>
      </c>
      <c r="C12" s="10">
        <v>573.66899999999998</v>
      </c>
      <c r="D12" s="11">
        <v>45454</v>
      </c>
      <c r="E12" s="10">
        <v>32.47</v>
      </c>
      <c r="F12" s="6" t="s">
        <v>21</v>
      </c>
      <c r="G12" s="12" t="s">
        <v>7</v>
      </c>
      <c r="H12" s="1" t="s">
        <v>5</v>
      </c>
      <c r="I12" s="13">
        <f>+Table1[[#This Row],[Quantità]]*Table1[[#This Row],[Prezzo Operazione (EUR)]]</f>
        <v>18627.032429999999</v>
      </c>
      <c r="J12" s="2" t="s">
        <v>85</v>
      </c>
    </row>
    <row r="13" spans="1:10" x14ac:dyDescent="0.35">
      <c r="A13" s="14" t="s">
        <v>75</v>
      </c>
      <c r="B13" s="5" t="s">
        <v>78</v>
      </c>
      <c r="C13" s="10">
        <v>9</v>
      </c>
      <c r="D13" s="11">
        <v>45471</v>
      </c>
      <c r="E13" s="10">
        <v>1000</v>
      </c>
      <c r="F13" s="6" t="s">
        <v>23</v>
      </c>
      <c r="G13" s="12" t="s">
        <v>7</v>
      </c>
      <c r="H13" s="1" t="s">
        <v>5</v>
      </c>
      <c r="I13" s="13">
        <f>+Table1[[#This Row],[Quantità]]*Table1[[#This Row],[Prezzo Operazione (EUR)]]</f>
        <v>9000</v>
      </c>
      <c r="J13" s="2" t="s">
        <v>86</v>
      </c>
    </row>
    <row r="14" spans="1:10" x14ac:dyDescent="0.35">
      <c r="A14" s="14" t="s">
        <v>77</v>
      </c>
      <c r="B14" s="5" t="s">
        <v>80</v>
      </c>
      <c r="C14" s="10">
        <v>150.84</v>
      </c>
      <c r="D14" s="11">
        <v>45572</v>
      </c>
      <c r="E14" s="10">
        <v>162.95057</v>
      </c>
      <c r="F14" s="6" t="s">
        <v>20</v>
      </c>
      <c r="G14" s="12" t="s">
        <v>7</v>
      </c>
      <c r="H14" s="1" t="s">
        <v>5</v>
      </c>
      <c r="I14" s="13">
        <f>+Table1[[#This Row],[Quantità]]*Table1[[#This Row],[Prezzo Operazione (EUR)]]</f>
        <v>24579.463978800002</v>
      </c>
      <c r="J14" s="2" t="s">
        <v>87</v>
      </c>
    </row>
    <row r="15" spans="1:10" x14ac:dyDescent="0.35">
      <c r="A15" s="14" t="s">
        <v>11</v>
      </c>
      <c r="B15" s="12" t="s">
        <v>8</v>
      </c>
      <c r="C15" s="10">
        <v>70</v>
      </c>
      <c r="D15" s="11">
        <v>45586</v>
      </c>
      <c r="E15" s="10">
        <v>100.5106</v>
      </c>
      <c r="F15" s="6" t="s">
        <v>73</v>
      </c>
      <c r="G15" s="12" t="s">
        <v>7</v>
      </c>
      <c r="H15" s="1" t="s">
        <v>5</v>
      </c>
      <c r="I15" s="13">
        <f>+Table1[[#This Row],[Quantità]]*Table1[[#This Row],[Prezzo Operazione (EUR)]]</f>
        <v>7035.7420000000002</v>
      </c>
      <c r="J15" s="2" t="s">
        <v>85</v>
      </c>
    </row>
    <row r="16" spans="1:10" x14ac:dyDescent="0.35">
      <c r="A16" s="14" t="s">
        <v>69</v>
      </c>
      <c r="B16" s="12" t="s">
        <v>45</v>
      </c>
      <c r="C16" s="15">
        <v>150</v>
      </c>
      <c r="D16" s="16">
        <v>45586</v>
      </c>
      <c r="E16" s="15">
        <v>40.496299999999998</v>
      </c>
      <c r="F16" s="6" t="s">
        <v>73</v>
      </c>
      <c r="G16" s="12" t="s">
        <v>7</v>
      </c>
      <c r="H16" s="1" t="s">
        <v>5</v>
      </c>
      <c r="I16" s="13">
        <f>+Table1[[#This Row],[Quantità]]*Table1[[#This Row],[Prezzo Operazione (EUR)]]</f>
        <v>6074.4449999999997</v>
      </c>
      <c r="J16" s="2" t="s">
        <v>85</v>
      </c>
    </row>
    <row r="17" spans="1:10" x14ac:dyDescent="0.35">
      <c r="A17" s="14" t="s">
        <v>71</v>
      </c>
      <c r="B17" s="12" t="s">
        <v>47</v>
      </c>
      <c r="C17" s="15">
        <v>210</v>
      </c>
      <c r="D17" s="16">
        <v>45586</v>
      </c>
      <c r="E17" s="15">
        <v>39.68</v>
      </c>
      <c r="F17" s="6" t="s">
        <v>73</v>
      </c>
      <c r="G17" s="12" t="s">
        <v>7</v>
      </c>
      <c r="H17" s="1" t="s">
        <v>5</v>
      </c>
      <c r="I17" s="13">
        <f>+Table1[[#This Row],[Quantità]]*Table1[[#This Row],[Prezzo Operazione (EUR)]]</f>
        <v>8332.7999999999993</v>
      </c>
      <c r="J17" s="2" t="s">
        <v>85</v>
      </c>
    </row>
    <row r="18" spans="1:10" x14ac:dyDescent="0.35">
      <c r="A18" s="14" t="s">
        <v>65</v>
      </c>
      <c r="B18" s="12" t="s">
        <v>41</v>
      </c>
      <c r="C18" s="10">
        <v>78</v>
      </c>
      <c r="D18" s="11">
        <v>45586</v>
      </c>
      <c r="E18" s="10">
        <v>105.6832</v>
      </c>
      <c r="F18" s="6" t="s">
        <v>74</v>
      </c>
      <c r="G18" s="12" t="s">
        <v>7</v>
      </c>
      <c r="H18" s="1" t="s">
        <v>5</v>
      </c>
      <c r="I18" s="13">
        <f>+Table1[[#This Row],[Quantità]]*Table1[[#This Row],[Prezzo Operazione (EUR)]]</f>
        <v>8243.2896000000001</v>
      </c>
      <c r="J18" s="2" t="s">
        <v>85</v>
      </c>
    </row>
    <row r="19" spans="1:10" x14ac:dyDescent="0.35">
      <c r="A19" s="14" t="s">
        <v>13</v>
      </c>
      <c r="B19" s="12" t="s">
        <v>10</v>
      </c>
      <c r="C19" s="15">
        <v>69.063999999999993</v>
      </c>
      <c r="D19" s="16">
        <v>45694</v>
      </c>
      <c r="E19" s="15">
        <v>201.98</v>
      </c>
      <c r="F19" s="4" t="s">
        <v>21</v>
      </c>
      <c r="G19" s="12" t="s">
        <v>7</v>
      </c>
      <c r="H19" s="1" t="s">
        <v>5</v>
      </c>
      <c r="I19" s="13">
        <f>+Table1[[#This Row],[Quantità]]*Table1[[#This Row],[Prezzo Operazione (EUR)]]</f>
        <v>13949.546719999998</v>
      </c>
      <c r="J19" s="2" t="s">
        <v>85</v>
      </c>
    </row>
    <row r="20" spans="1:10" x14ac:dyDescent="0.35">
      <c r="A20" s="14" t="s">
        <v>76</v>
      </c>
      <c r="B20" s="5" t="s">
        <v>79</v>
      </c>
      <c r="C20" s="10">
        <v>1998</v>
      </c>
      <c r="D20" s="11">
        <v>45701</v>
      </c>
      <c r="E20" s="10">
        <v>5</v>
      </c>
      <c r="F20" s="6" t="s">
        <v>20</v>
      </c>
      <c r="G20" s="12" t="s">
        <v>7</v>
      </c>
      <c r="H20" s="1" t="s">
        <v>5</v>
      </c>
      <c r="I20" s="13">
        <f>+Table1[[#This Row],[Quantità]]*Table1[[#This Row],[Prezzo Operazione (EUR)]]</f>
        <v>9990</v>
      </c>
      <c r="J20" s="2" t="s">
        <v>88</v>
      </c>
    </row>
    <row r="21" spans="1:10" x14ac:dyDescent="0.35">
      <c r="A21" s="14" t="s">
        <v>57</v>
      </c>
      <c r="B21" s="12" t="s">
        <v>33</v>
      </c>
      <c r="C21" s="10">
        <v>59.204999999999998</v>
      </c>
      <c r="D21" s="11">
        <v>45701</v>
      </c>
      <c r="E21" s="10">
        <v>276.27</v>
      </c>
      <c r="F21" s="6" t="s">
        <v>21</v>
      </c>
      <c r="G21" s="12" t="s">
        <v>7</v>
      </c>
      <c r="H21" s="1" t="s">
        <v>5</v>
      </c>
      <c r="I21" s="13">
        <f>+Table1[[#This Row],[Quantità]]*Table1[[#This Row],[Prezzo Operazione (EUR)]]</f>
        <v>16356.565349999999</v>
      </c>
      <c r="J21" s="2" t="s">
        <v>85</v>
      </c>
    </row>
    <row r="22" spans="1:10" x14ac:dyDescent="0.35">
      <c r="A22" s="14" t="s">
        <v>49</v>
      </c>
      <c r="B22" s="12" t="s">
        <v>26</v>
      </c>
      <c r="C22" s="10">
        <v>23.643999999999998</v>
      </c>
      <c r="D22" s="11">
        <v>45702</v>
      </c>
      <c r="E22" s="10">
        <v>534.37</v>
      </c>
      <c r="F22" s="6" t="s">
        <v>20</v>
      </c>
      <c r="G22" s="12" t="s">
        <v>7</v>
      </c>
      <c r="H22" s="1" t="s">
        <v>5</v>
      </c>
      <c r="I22" s="13">
        <f>+Table1[[#This Row],[Quantità]]*Table1[[#This Row],[Prezzo Operazione (EUR)]]</f>
        <v>12634.644279999999</v>
      </c>
      <c r="J22" s="2" t="s">
        <v>85</v>
      </c>
    </row>
    <row r="23" spans="1:10" x14ac:dyDescent="0.35">
      <c r="A23" s="14" t="s">
        <v>59</v>
      </c>
      <c r="B23" s="12" t="s">
        <v>35</v>
      </c>
      <c r="C23" s="10">
        <v>151.94900000000001</v>
      </c>
      <c r="D23" s="11">
        <v>45702</v>
      </c>
      <c r="E23" s="10">
        <v>177.85</v>
      </c>
      <c r="F23" s="6" t="s">
        <v>20</v>
      </c>
      <c r="G23" s="12" t="s">
        <v>7</v>
      </c>
      <c r="H23" s="1" t="s">
        <v>5</v>
      </c>
      <c r="I23" s="13">
        <f>+Table1[[#This Row],[Quantità]]*Table1[[#This Row],[Prezzo Operazione (EUR)]]</f>
        <v>27024.129650000003</v>
      </c>
      <c r="J23" s="2" t="s">
        <v>85</v>
      </c>
    </row>
    <row r="24" spans="1:10" x14ac:dyDescent="0.35">
      <c r="A24" s="14" t="s">
        <v>64</v>
      </c>
      <c r="B24" s="12" t="s">
        <v>40</v>
      </c>
      <c r="C24" s="10">
        <v>33.834000000000003</v>
      </c>
      <c r="D24" s="11">
        <v>45721</v>
      </c>
      <c r="E24" s="10">
        <v>227.53</v>
      </c>
      <c r="F24" s="6" t="s">
        <v>20</v>
      </c>
      <c r="G24" s="12" t="s">
        <v>7</v>
      </c>
      <c r="H24" s="1" t="s">
        <v>5</v>
      </c>
      <c r="I24" s="13">
        <f>+Table1[[#This Row],[Quantità]]*Table1[[#This Row],[Prezzo Operazione (EUR)]]</f>
        <v>7698.2500200000004</v>
      </c>
      <c r="J24" s="2" t="s">
        <v>85</v>
      </c>
    </row>
    <row r="25" spans="1:10" x14ac:dyDescent="0.35">
      <c r="A25" s="14" t="s">
        <v>63</v>
      </c>
      <c r="B25" s="12" t="s">
        <v>39</v>
      </c>
      <c r="C25" s="10">
        <v>423.15</v>
      </c>
      <c r="D25" s="11">
        <v>45727</v>
      </c>
      <c r="E25" s="10">
        <v>24.27</v>
      </c>
      <c r="F25" s="6" t="s">
        <v>20</v>
      </c>
      <c r="G25" s="12" t="s">
        <v>7</v>
      </c>
      <c r="H25" s="1" t="s">
        <v>5</v>
      </c>
      <c r="I25" s="13">
        <f>+Table1[[#This Row],[Quantità]]*Table1[[#This Row],[Prezzo Operazione (EUR)]]</f>
        <v>10269.850499999999</v>
      </c>
      <c r="J25" s="2" t="s">
        <v>85</v>
      </c>
    </row>
    <row r="26" spans="1:10" x14ac:dyDescent="0.35">
      <c r="A26" s="14" t="s">
        <v>81</v>
      </c>
      <c r="B26" s="5" t="s">
        <v>29</v>
      </c>
      <c r="C26" s="10">
        <v>100</v>
      </c>
      <c r="D26" s="11">
        <v>45730</v>
      </c>
      <c r="E26" s="10">
        <f>+Table1[[#This Row],[Controvalore (EUR)]]/Table1[[#This Row],[Quantità]]</f>
        <v>99.256200000000007</v>
      </c>
      <c r="F26" s="6" t="s">
        <v>23</v>
      </c>
      <c r="G26" s="12" t="s">
        <v>7</v>
      </c>
      <c r="H26" s="1" t="s">
        <v>5</v>
      </c>
      <c r="I26" s="13">
        <v>9925.6200000000008</v>
      </c>
      <c r="J26" s="2" t="s">
        <v>89</v>
      </c>
    </row>
    <row r="27" spans="1:10" x14ac:dyDescent="0.35">
      <c r="A27" s="14" t="s">
        <v>72</v>
      </c>
      <c r="B27" s="12" t="s">
        <v>48</v>
      </c>
      <c r="C27" s="10">
        <v>203</v>
      </c>
      <c r="D27" s="11">
        <v>45730</v>
      </c>
      <c r="E27" s="10">
        <v>39.770000000000003</v>
      </c>
      <c r="F27" s="6" t="s">
        <v>73</v>
      </c>
      <c r="G27" s="12" t="s">
        <v>7</v>
      </c>
      <c r="H27" s="1" t="s">
        <v>5</v>
      </c>
      <c r="I27" s="13">
        <f>+Table1[[#This Row],[Quantità]]*Table1[[#This Row],[Prezzo Operazione (EUR)]]</f>
        <v>8073.31</v>
      </c>
      <c r="J27" s="2" t="s">
        <v>85</v>
      </c>
    </row>
    <row r="28" spans="1:10" x14ac:dyDescent="0.35">
      <c r="A28" s="14" t="s">
        <v>84</v>
      </c>
      <c r="B28" s="5" t="s">
        <v>83</v>
      </c>
      <c r="C28" s="10">
        <v>10</v>
      </c>
      <c r="D28" s="11">
        <v>45791</v>
      </c>
      <c r="E28" s="10">
        <f>+Table1[[#This Row],[Controvalore (EUR)]]/Table1[[#This Row],[Quantità]]</f>
        <v>1025.577</v>
      </c>
      <c r="F28" s="6" t="s">
        <v>23</v>
      </c>
      <c r="G28" s="6" t="s">
        <v>7</v>
      </c>
      <c r="H28" s="1" t="s">
        <v>5</v>
      </c>
      <c r="I28" s="13">
        <v>10255.77</v>
      </c>
      <c r="J28" s="2" t="s">
        <v>90</v>
      </c>
    </row>
    <row r="29" spans="1:10" x14ac:dyDescent="0.35">
      <c r="A29" s="14" t="s">
        <v>56</v>
      </c>
      <c r="B29" s="12" t="s">
        <v>32</v>
      </c>
      <c r="C29" s="10">
        <v>11</v>
      </c>
      <c r="D29" s="11">
        <v>45932</v>
      </c>
      <c r="E29" s="10">
        <v>986.06179999999995</v>
      </c>
      <c r="F29" s="6" t="s">
        <v>23</v>
      </c>
      <c r="G29" s="12" t="s">
        <v>7</v>
      </c>
      <c r="H29" s="1" t="s">
        <v>5</v>
      </c>
      <c r="I29" s="13">
        <f>+Table1[[#This Row],[Quantità]]*Table1[[#This Row],[Prezzo Operazione (EUR)]]</f>
        <v>10846.6798</v>
      </c>
      <c r="J29" s="2" t="s">
        <v>85</v>
      </c>
    </row>
    <row r="30" spans="1:10" x14ac:dyDescent="0.35">
      <c r="A30" s="14" t="s">
        <v>12</v>
      </c>
      <c r="B30" s="12" t="s">
        <v>9</v>
      </c>
      <c r="C30" s="10">
        <v>95.162000000000006</v>
      </c>
      <c r="D30" s="11">
        <v>45945</v>
      </c>
      <c r="E30" s="10">
        <v>187.31389999999999</v>
      </c>
      <c r="F30" s="4" t="s">
        <v>20</v>
      </c>
      <c r="G30" s="12" t="s">
        <v>7</v>
      </c>
      <c r="H30" s="1" t="s">
        <v>14</v>
      </c>
      <c r="I30" s="13">
        <f>+Table1[[#This Row],[Quantità]]*Table1[[#This Row],[Prezzo Operazione (EUR)]]</f>
        <v>17825.165351799998</v>
      </c>
      <c r="J30" s="2" t="s">
        <v>85</v>
      </c>
    </row>
    <row r="31" spans="1:10" x14ac:dyDescent="0.35">
      <c r="A31" s="14" t="s">
        <v>52</v>
      </c>
      <c r="B31" s="12" t="s">
        <v>29</v>
      </c>
      <c r="C31" s="10">
        <v>150</v>
      </c>
      <c r="D31" s="11">
        <v>45982</v>
      </c>
      <c r="E31" s="10">
        <v>100.3967</v>
      </c>
      <c r="F31" s="6" t="s">
        <v>23</v>
      </c>
      <c r="G31" s="12" t="s">
        <v>7</v>
      </c>
      <c r="H31" s="1" t="s">
        <v>5</v>
      </c>
      <c r="I31" s="13">
        <f>+Table1[[#This Row],[Quantità]]*Table1[[#This Row],[Prezzo Operazione (EUR)]]</f>
        <v>15059.504999999999</v>
      </c>
      <c r="J31" s="2" t="s">
        <v>85</v>
      </c>
    </row>
    <row r="32" spans="1:10" x14ac:dyDescent="0.35">
      <c r="A32" s="14" t="s">
        <v>53</v>
      </c>
      <c r="B32" s="12" t="s">
        <v>17</v>
      </c>
      <c r="C32" s="10">
        <v>110</v>
      </c>
      <c r="D32" s="11">
        <v>45982</v>
      </c>
      <c r="E32" s="10">
        <v>91.193799999999996</v>
      </c>
      <c r="F32" s="6" t="s">
        <v>23</v>
      </c>
      <c r="G32" s="12" t="s">
        <v>7</v>
      </c>
      <c r="H32" s="1" t="s">
        <v>5</v>
      </c>
      <c r="I32" s="13">
        <f>+Table1[[#This Row],[Quantità]]*Table1[[#This Row],[Prezzo Operazione (EUR)]]</f>
        <v>10031.317999999999</v>
      </c>
      <c r="J32" s="2" t="s">
        <v>85</v>
      </c>
    </row>
    <row r="33" spans="1:10" x14ac:dyDescent="0.35">
      <c r="A33" s="14" t="s">
        <v>54</v>
      </c>
      <c r="B33" s="17" t="s">
        <v>30</v>
      </c>
      <c r="C33" s="15">
        <v>150</v>
      </c>
      <c r="D33" s="16">
        <v>45989</v>
      </c>
      <c r="E33" s="15">
        <v>99.236699999999999</v>
      </c>
      <c r="F33" s="6" t="s">
        <v>23</v>
      </c>
      <c r="G33" s="12" t="s">
        <v>7</v>
      </c>
      <c r="H33" s="1" t="s">
        <v>5</v>
      </c>
      <c r="I33" s="13">
        <f>+Table1[[#This Row],[Quantità]]*Table1[[#This Row],[Prezzo Operazione (EUR)]]</f>
        <v>14885.504999999999</v>
      </c>
      <c r="J33" s="2" t="s">
        <v>85</v>
      </c>
    </row>
    <row r="34" spans="1:10" x14ac:dyDescent="0.35">
      <c r="A34" s="18" t="s">
        <v>82</v>
      </c>
      <c r="B34" s="17" t="s">
        <v>83</v>
      </c>
      <c r="C34" s="15">
        <v>12</v>
      </c>
      <c r="D34" s="16">
        <v>46002</v>
      </c>
      <c r="E34" s="15">
        <f>+Table1[[#This Row],[Controvalore (EUR)]]/Table1[[#This Row],[Quantità]]</f>
        <v>972.74749999999995</v>
      </c>
      <c r="F34" s="6" t="s">
        <v>23</v>
      </c>
      <c r="G34" s="12" t="s">
        <v>7</v>
      </c>
      <c r="H34" s="1" t="s">
        <v>5</v>
      </c>
      <c r="I34" s="13">
        <v>11672.97</v>
      </c>
      <c r="J34" s="2" t="s">
        <v>91</v>
      </c>
    </row>
    <row r="35" spans="1:10" x14ac:dyDescent="0.35">
      <c r="A35" s="18" t="s">
        <v>15</v>
      </c>
      <c r="B35" s="17" t="s">
        <v>17</v>
      </c>
      <c r="C35" s="15">
        <v>105</v>
      </c>
      <c r="D35" s="16">
        <v>46042</v>
      </c>
      <c r="E35" s="15">
        <v>97.565299999999993</v>
      </c>
      <c r="F35" s="6" t="s">
        <v>23</v>
      </c>
      <c r="G35" s="12" t="s">
        <v>7</v>
      </c>
      <c r="H35" s="1" t="s">
        <v>5</v>
      </c>
      <c r="I35" s="13">
        <f>+Table1[[#This Row],[Quantità]]*Table1[[#This Row],[Prezzo Operazione (EUR)]]</f>
        <v>10244.3565</v>
      </c>
      <c r="J35" s="2"/>
    </row>
    <row r="36" spans="1:10" x14ac:dyDescent="0.35">
      <c r="A36" s="18" t="s">
        <v>16</v>
      </c>
      <c r="B36" s="17" t="s">
        <v>18</v>
      </c>
      <c r="C36" s="15">
        <v>250</v>
      </c>
      <c r="D36" s="16">
        <v>46042</v>
      </c>
      <c r="E36" s="15">
        <v>39.916699999999999</v>
      </c>
      <c r="F36" s="6" t="s">
        <v>73</v>
      </c>
      <c r="G36" s="17" t="s">
        <v>7</v>
      </c>
      <c r="H36" s="3" t="s">
        <v>5</v>
      </c>
      <c r="I36" s="13">
        <f>+Table1[[#This Row],[Quantità]]*Table1[[#This Row],[Prezzo Operazione (EUR)]]</f>
        <v>9979.1749999999993</v>
      </c>
      <c r="J36" s="2"/>
    </row>
  </sheetData>
  <conditionalFormatting sqref="B2:B36">
    <cfRule type="expression" dxfId="48" priority="101" stopIfTrue="1">
      <formula>IF(AND(ISNUMBER(SEARCH("H2O", B2)), ISNUMBER(SEARCH("SP", B2))), 1,0)</formula>
    </cfRule>
    <cfRule type="containsText" dxfId="47" priority="102" stopIfTrue="1" operator="containsText" text="BTP">
      <formula>NOT(ISERROR(SEARCH("BTP",B2)))</formula>
    </cfRule>
  </conditionalFormatting>
  <conditionalFormatting sqref="C29:C33 C2:C27">
    <cfRule type="containsBlanks" dxfId="46" priority="134">
      <formula>LEN(TRIM(C2))=0</formula>
    </cfRule>
  </conditionalFormatting>
  <conditionalFormatting sqref="C28">
    <cfRule type="expression" dxfId="45" priority="51">
      <formula>IF(OR(XFD28="Acquisto",XFD28="Vendita"),1,0)</formula>
    </cfRule>
  </conditionalFormatting>
  <conditionalFormatting sqref="F27:F34 F2:G26">
    <cfRule type="containsText" dxfId="44" priority="40" operator="containsText" text="NEW">
      <formula>NOT(ISERROR(SEARCH("NEW",F2)))</formula>
    </cfRule>
    <cfRule type="containsText" dxfId="43" priority="41" operator="containsText" text="Multi-Asset">
      <formula>NOT(ISERROR(SEARCH("Multi-Asset",F2)))</formula>
    </cfRule>
    <cfRule type="containsText" dxfId="42" priority="42" operator="containsText" text="Altro">
      <formula>NOT(ISERROR(SEARCH("Altro",F2)))</formula>
    </cfRule>
    <cfRule type="containsText" dxfId="41" priority="43" operator="containsText" text="Obbligazionario">
      <formula>NOT(ISERROR(SEARCH("Obbligazionario",F2)))</formula>
    </cfRule>
    <cfRule type="containsText" dxfId="40" priority="44" operator="containsText" text="Obblig.">
      <formula>NOT(ISERROR(SEARCH("Obblig.",F2)))</formula>
    </cfRule>
    <cfRule type="containsText" dxfId="39" priority="45" operator="containsText" text="ETF">
      <formula>NOT(ISERROR(SEARCH("ETF",F2)))</formula>
    </cfRule>
    <cfRule type="containsText" dxfId="38" priority="46" operator="containsText" text="Azionario">
      <formula>NOT(ISERROR(SEARCH("Azionario",F2)))</formula>
    </cfRule>
    <cfRule type="containsText" dxfId="37" priority="47" operator="containsText" text="Liquidità">
      <formula>NOT(ISERROR(SEARCH("Liquidità",F2)))</formula>
    </cfRule>
    <cfRule type="containsText" dxfId="36" priority="48" operator="containsText" text="Bilanciato">
      <formula>NOT(ISERROR(SEARCH("Bilanciato",F2)))</formula>
    </cfRule>
    <cfRule type="containsText" dxfId="35" priority="49" operator="containsText" text="Certif">
      <formula>NOT(ISERROR(SEARCH("Certif",F2)))</formula>
    </cfRule>
  </conditionalFormatting>
  <conditionalFormatting sqref="F36">
    <cfRule type="containsText" dxfId="34" priority="20" operator="containsText" text="NEW">
      <formula>NOT(ISERROR(SEARCH("NEW",F36)))</formula>
    </cfRule>
    <cfRule type="containsText" dxfId="33" priority="21" operator="containsText" text="Multi-Asset">
      <formula>NOT(ISERROR(SEARCH("Multi-Asset",F36)))</formula>
    </cfRule>
    <cfRule type="containsText" dxfId="32" priority="22" operator="containsText" text="Altro">
      <formula>NOT(ISERROR(SEARCH("Altro",F36)))</formula>
    </cfRule>
    <cfRule type="containsText" dxfId="31" priority="23" operator="containsText" text="Obbligazionario">
      <formula>NOT(ISERROR(SEARCH("Obbligazionario",F36)))</formula>
    </cfRule>
    <cfRule type="containsText" dxfId="30" priority="24" operator="containsText" text="Obblig.">
      <formula>NOT(ISERROR(SEARCH("Obblig.",F36)))</formula>
    </cfRule>
    <cfRule type="containsText" dxfId="29" priority="25" operator="containsText" text="ETF">
      <formula>NOT(ISERROR(SEARCH("ETF",F36)))</formula>
    </cfRule>
    <cfRule type="containsText" dxfId="28" priority="26" operator="containsText" text="Azionario">
      <formula>NOT(ISERROR(SEARCH("Azionario",F36)))</formula>
    </cfRule>
    <cfRule type="containsText" dxfId="27" priority="27" operator="containsText" text="Liquidità">
      <formula>NOT(ISERROR(SEARCH("Liquidità",F36)))</formula>
    </cfRule>
    <cfRule type="containsText" dxfId="26" priority="28" operator="containsText" text="Bilanciato">
      <formula>NOT(ISERROR(SEARCH("Bilanciato",F36)))</formula>
    </cfRule>
    <cfRule type="containsText" dxfId="25" priority="29" operator="containsText" text="Certif">
      <formula>NOT(ISERROR(SEARCH("Certif",F36)))</formula>
    </cfRule>
  </conditionalFormatting>
  <conditionalFormatting sqref="G27:G34">
    <cfRule type="containsText" dxfId="24" priority="105" operator="containsText" text="NEW">
      <formula>NOT(ISERROR(SEARCH("NEW",G27)))</formula>
    </cfRule>
    <cfRule type="containsText" dxfId="23" priority="106" operator="containsText" text="Multi-Asset">
      <formula>NOT(ISERROR(SEARCH("Multi-Asset",G27)))</formula>
    </cfRule>
    <cfRule type="containsText" dxfId="22" priority="107" operator="containsText" text="Altro">
      <formula>NOT(ISERROR(SEARCH("Altro",G27)))</formula>
    </cfRule>
    <cfRule type="containsText" dxfId="21" priority="108" operator="containsText" text="Obbligazionario">
      <formula>NOT(ISERROR(SEARCH("Obbligazionario",G27)))</formula>
    </cfRule>
    <cfRule type="containsText" dxfId="20" priority="109" operator="containsText" text="Obblig.">
      <formula>NOT(ISERROR(SEARCH("Obblig.",G27)))</formula>
    </cfRule>
    <cfRule type="containsText" dxfId="19" priority="110" operator="containsText" text="ETF">
      <formula>NOT(ISERROR(SEARCH("ETF",G27)))</formula>
    </cfRule>
    <cfRule type="containsText" dxfId="18" priority="111" operator="containsText" text="Azionario">
      <formula>NOT(ISERROR(SEARCH("Azionario",G27)))</formula>
    </cfRule>
    <cfRule type="containsText" dxfId="17" priority="112" operator="containsText" text="Liquidità">
      <formula>NOT(ISERROR(SEARCH("Liquidità",G27)))</formula>
    </cfRule>
    <cfRule type="containsText" dxfId="16" priority="113" operator="containsText" text="Bilanciato">
      <formula>NOT(ISERROR(SEARCH("Bilanciato",G27)))</formula>
    </cfRule>
    <cfRule type="containsText" dxfId="15" priority="114" operator="containsText" text="Certif">
      <formula>NOT(ISERROR(SEARCH("Certif",G27)))</formula>
    </cfRule>
  </conditionalFormatting>
  <conditionalFormatting sqref="F35:G35">
    <cfRule type="containsText" dxfId="14" priority="30" operator="containsText" text="NEW">
      <formula>NOT(ISERROR(SEARCH("NEW",F35)))</formula>
    </cfRule>
    <cfRule type="containsText" dxfId="13" priority="31" operator="containsText" text="Multi-Asset">
      <formula>NOT(ISERROR(SEARCH("Multi-Asset",F35)))</formula>
    </cfRule>
    <cfRule type="containsText" dxfId="12" priority="32" operator="containsText" text="Altro">
      <formula>NOT(ISERROR(SEARCH("Altro",F35)))</formula>
    </cfRule>
    <cfRule type="containsText" dxfId="11" priority="33" operator="containsText" text="Obbligazionario">
      <formula>NOT(ISERROR(SEARCH("Obbligazionario",F35)))</formula>
    </cfRule>
    <cfRule type="containsText" dxfId="10" priority="34" operator="containsText" text="Obblig.">
      <formula>NOT(ISERROR(SEARCH("Obblig.",F35)))</formula>
    </cfRule>
    <cfRule type="containsText" dxfId="9" priority="35" operator="containsText" text="ETF">
      <formula>NOT(ISERROR(SEARCH("ETF",F35)))</formula>
    </cfRule>
    <cfRule type="containsText" dxfId="8" priority="36" operator="containsText" text="Azionario">
      <formula>NOT(ISERROR(SEARCH("Azionario",F35)))</formula>
    </cfRule>
    <cfRule type="containsText" dxfId="7" priority="37" operator="containsText" text="Liquidità">
      <formula>NOT(ISERROR(SEARCH("Liquidità",F35)))</formula>
    </cfRule>
    <cfRule type="containsText" dxfId="6" priority="38" operator="containsText" text="Bilanciato">
      <formula>NOT(ISERROR(SEARCH("Bilanciato",F35)))</formula>
    </cfRule>
    <cfRule type="containsText" dxfId="5" priority="39" operator="containsText" text="Certif">
      <formula>NOT(ISERROR(SEARCH("Certif",F35)))</formula>
    </cfRule>
  </conditionalFormatting>
  <conditionalFormatting sqref="G2:G36">
    <cfRule type="containsText" dxfId="4" priority="121" operator="containsText" text="Vendita">
      <formula>NOT(ISERROR(SEARCH("Vendita",G2)))</formula>
    </cfRule>
    <cfRule type="containsText" dxfId="3" priority="122" operator="containsText" text="Acquisto">
      <formula>NOT(ISERROR(SEARCH("Acquisto",G2)))</formula>
    </cfRule>
  </conditionalFormatting>
  <conditionalFormatting sqref="H2:H36">
    <cfRule type="notContainsText" dxfId="1" priority="99" operator="notContains" text="EUR">
      <formula>ISERROR(SEARCH("EUR",H2))</formula>
    </cfRule>
  </conditionalFormatting>
  <conditionalFormatting sqref="A2:A36">
    <cfRule type="duplicateValues" dxfId="0" priority="172"/>
  </conditionalFormatting>
  <dataValidations disablePrompts="1" count="1">
    <dataValidation type="list" allowBlank="1" showInputMessage="1" showErrorMessage="1" sqref="G2:G36" xr:uid="{9A98F400-F59B-4CAF-B5F6-F5C20F3D7971}">
      <formula1>"Acquisto,Vendita,-"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8" stopIfTrue="1" operator="containsText" id="{5C0DA463-E331-4F36-9AA2-25576B5B138E}">
            <xm:f>NOT(ISERROR(SEARCH("-",H2)))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H2:H36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2026-03-25T18:28:13Z</dcterms:modified>
</cp:coreProperties>
</file>