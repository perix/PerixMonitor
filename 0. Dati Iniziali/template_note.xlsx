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942986E0-8CD4-4966-8DEF-0DBC1DFBA301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3" i="1"/>
  <c r="F22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4" i="1" l="1"/>
  <c r="H24" i="1"/>
</calcChain>
</file>

<file path=xl/sharedStrings.xml><?xml version="1.0" encoding="utf-8"?>
<sst xmlns="http://schemas.openxmlformats.org/spreadsheetml/2006/main" count="76" uniqueCount="61">
  <si>
    <t>Descrizione Titolo</t>
  </si>
  <si>
    <t>ISIN</t>
  </si>
  <si>
    <t>Quantità</t>
  </si>
  <si>
    <t>BTP FEBBR 26 0.5%</t>
  </si>
  <si>
    <t>BTP01.03.22-01.04.27</t>
  </si>
  <si>
    <t>FID ASIA AGGR AC EUR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</si>
  <si>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</si>
  <si>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</si>
  <si>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</si>
  <si>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</si>
  <si>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</si>
  <si>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</si>
  <si>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</si>
  <si>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</si>
  <si>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</si>
  <si>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</si>
  <si>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</si>
  <si>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</si>
  <si>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</si>
  <si>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</si>
  <si>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</si>
  <si>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IT0005419848</t>
  </si>
  <si>
    <t>IT0005484552</t>
  </si>
  <si>
    <t>LU0345361124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</si>
  <si>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</si>
  <si>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</si>
  <si>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</si>
  <si>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</si>
  <si>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</si>
  <si>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</si>
  <si>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</si>
  <si>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</si>
  <si>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</si>
  <si>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</si>
  <si>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</si>
  <si>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</si>
  <si>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</si>
  <si>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</si>
  <si>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</si>
  <si>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</si>
  <si>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</si>
  <si>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</si>
  <si>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</si>
  <si>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BSKT/BNPI 28</t>
  </si>
  <si>
    <t>GLB X SILV USD-A EUR</t>
  </si>
  <si>
    <t>VON EXPE28</t>
  </si>
  <si>
    <t>VON EXPE29</t>
  </si>
  <si>
    <t>Fondo Obblig. Governativo</t>
  </si>
  <si>
    <t>Fondo Azionario</t>
  </si>
  <si>
    <t>Multi-Asset</t>
  </si>
  <si>
    <t>ETF azionario</t>
  </si>
  <si>
    <t>Fondo Obbligazionario</t>
  </si>
  <si>
    <t>Tipologia</t>
  </si>
  <si>
    <t>Certificato</t>
  </si>
  <si>
    <t>Altro</t>
  </si>
  <si>
    <t>Note</t>
  </si>
  <si>
    <t>Controvalore</t>
  </si>
  <si>
    <t>Total</t>
  </si>
  <si>
    <t>Data Chiusura</t>
  </si>
  <si>
    <t>P&amp;L</t>
  </si>
  <si>
    <t>Data 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</si>
</sst>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_ ;[Red]\-#,##0.00\ "/>
    <numFmt numFmtId="168" formatCode="#,##0.00_ ;\-#,##0.00;\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4" xfId="0" applyBorder="1"/>
    <xf numFmtId="2" fontId="2" fillId="0" borderId="1" xfId="0" applyNumberFormat="1" applyFont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166" fontId="0" fillId="0" borderId="1" xfId="0" applyNumberForma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53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_ ;\-#,##0.00;\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68" formatCode="#,##0.00_ ;\-#,##0.00;\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#,##0.00_ ;\-#,##0.00;\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I24" totalsRowCount="1" headerRowDxfId="52" dataDxfId="51" tableBorderDxfId="50">
  <autoFilter ref="A1:I23" xr:uid="{04F4BF02-F5A0-427F-92C4-A60283CF04F1}"/>
  <tableColumns count="9">
    <tableColumn id="1" xr3:uid="{B8061C36-8993-4203-ABD6-C7BF7558D40C}" name="Descrizione Titolo" totalsRowLabel="Total" dataDxfId="36" totalsRowDxfId="8"/>
    <tableColumn id="2" xr3:uid="{C4CDF0AD-2602-44A7-AA26-292542A274A0}" name="ISIN" dataDxfId="35" totalsRowDxfId="7"/>
    <tableColumn id="3" xr3:uid="{0A18EC50-C250-41F4-83C1-E84B3FDD76A5}" name="Quantità" dataDxfId="30" totalsRowDxfId="6"/>
    <tableColumn id="10" xr3:uid="{32691C5A-88E8-4C92-A2B0-9CF1B870F72E}" name="Data Apertura" dataDxfId="9" totalsRowDxfId="5"/>
    <tableColumn id="6" xr3:uid="{1CC3BD49-EF04-4684-84DC-5AB42F08A1CD}" name="Data Chiusura" dataDxfId="34" totalsRowDxfId="4"/>
    <tableColumn id="9" xr3:uid="{C796604D-1C38-4F3F-83C7-25F5259C4246}" name="P&amp;L" totalsRowFunction="sum" dataDxfId="33" totalsRowDxfId="3">
      <calculatedColumnFormula>(RAND()-0.5)*2000</calculatedColumnFormula>
    </tableColumn>
    <tableColumn id="11" xr3:uid="{8B0704F8-8C2E-42BE-A30C-03EF7C2730A1}" name="Tipologia" dataDxfId="32" totalsRowDxfId="2"/>
    <tableColumn id="4" xr3:uid="{6E71987A-FCB6-43EF-B370-B4A56BD1913B}" name="Controvalore" totalsRowFunction="sum" dataDxfId="29" totalsRowDxfId="1"/>
    <tableColumn id="8" xr3:uid="{4CAFF875-C902-411D-A37E-963F4E920788}" name="Note" dataDxfId="3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I24"/>
  <sheetViews>
    <sheetView showGridLines="0" tabSelected="1" workbookViewId="0">
      <selection activeCell="G41" sqref="G41:G46"/>
    </sheetView>
  </sheetViews>
  <sheetFormatPr defaultRowHeight="14.5" x14ac:dyDescent="0.35"/>
  <cols>
    <col min="1" max="1" width="29.1796875" customWidth="1"/>
    <col min="2" max="2" width="14.26953125" customWidth="1"/>
    <col min="3" max="3" width="12.6328125" hidden="1" customWidth="1"/>
    <col min="4" max="4" width="12.6328125" customWidth="1"/>
    <col min="5" max="5" width="17" bestFit="1" customWidth="1"/>
    <col min="6" max="6" width="17" customWidth="1"/>
    <col min="7" max="7" width="24.54296875" customWidth="1"/>
    <col min="8" max="8" width="16.08984375" bestFit="1" customWidth="1"/>
    <col min="9" max="9" width="30.6328125" customWidth="1"/>
  </cols>
  <sheetData>
    <row r="1" spans="1:9" x14ac:dyDescent="0.35">
      <c r="A1" s="7" t="s">
        <v>0</v>
      </c>
      <c r="B1" s="8" t="s">
        <v>1</v>
      </c>
      <c r="C1" s="8" t="s">
        <v>2</v>
      </c>
      <c r="D1" s="1" t="s">
        <v>60</v>
      </c>
      <c r="E1" s="1" t="s">
        <v>58</v>
      </c>
      <c r="F1" s="2" t="s">
        <v>59</v>
      </c>
      <c r="G1" s="2" t="s">
        <v>52</v>
      </c>
      <c r="H1" s="1" t="s">
        <v>56</v>
      </c>
      <c r="I1" s="1" t="s">
        <v>55</v>
      </c>
    </row>
    <row r="2" spans="1:9" x14ac:dyDescent="0.35">
      <c r="A2" s="3" t="s">
        <v>4</v>
      </c>
      <c r="B2" s="3" t="s">
        <v>22</v>
      </c>
      <c r="C2" s="15">
        <v>1500</v>
      </c>
      <c r="D2" s="4">
        <v>45352</v>
      </c>
      <c r="E2" s="4"/>
      <c r="F2" s="14">
        <f ca="1">(RAND()-0.5)*2000</f>
        <v>794.2070168814779</v>
      </c>
      <c r="G2" s="6" t="s">
        <v>47</v>
      </c>
      <c r="H2" s="15">
        <v>1000</v>
      </c>
      <c r="I2" s="13"/>
    </row>
    <row r="3" spans="1:9" x14ac:dyDescent="0.35">
      <c r="A3" s="3" t="s">
        <v>15</v>
      </c>
      <c r="B3" s="3" t="s">
        <v>33</v>
      </c>
      <c r="C3" s="15">
        <v>117.944</v>
      </c>
      <c r="D3" s="4">
        <v>45352</v>
      </c>
      <c r="E3" s="4"/>
      <c r="F3" s="14">
        <f t="shared" ref="F3:F23" ca="1" si="0">(RAND()-0.5)*2000</f>
        <v>-738.008071719996</v>
      </c>
      <c r="G3" s="6" t="s">
        <v>51</v>
      </c>
      <c r="H3" s="15">
        <v>10000</v>
      </c>
      <c r="I3" s="13"/>
    </row>
    <row r="4" spans="1:9" x14ac:dyDescent="0.35">
      <c r="A4" s="3" t="s">
        <v>6</v>
      </c>
      <c r="B4" s="3" t="s">
        <v>24</v>
      </c>
      <c r="C4" s="15">
        <v>808.88599999999997</v>
      </c>
      <c r="D4" s="4">
        <v>45352</v>
      </c>
      <c r="E4" s="4"/>
      <c r="F4" s="14">
        <f t="shared" ca="1" si="0"/>
        <v>441.47036631236159</v>
      </c>
      <c r="G4" s="6" t="s">
        <v>51</v>
      </c>
      <c r="H4" s="15">
        <v>10000</v>
      </c>
      <c r="I4" s="13"/>
    </row>
    <row r="5" spans="1:9" x14ac:dyDescent="0.35">
      <c r="A5" s="3" t="s">
        <v>43</v>
      </c>
      <c r="B5" s="3" t="s">
        <v>39</v>
      </c>
      <c r="C5" s="15">
        <v>155</v>
      </c>
      <c r="D5" s="4">
        <v>45352</v>
      </c>
      <c r="E5" s="4"/>
      <c r="F5" s="14">
        <f t="shared" ca="1" si="0"/>
        <v>-62.761756115129465</v>
      </c>
      <c r="G5" s="6" t="s">
        <v>53</v>
      </c>
      <c r="H5" s="15">
        <v>10000</v>
      </c>
      <c r="I5" s="13"/>
    </row>
    <row r="6" spans="1:9" x14ac:dyDescent="0.35">
      <c r="A6" s="3" t="s">
        <v>45</v>
      </c>
      <c r="B6" s="3" t="s">
        <v>41</v>
      </c>
      <c r="C6" s="15">
        <v>15</v>
      </c>
      <c r="D6" s="4">
        <v>45352</v>
      </c>
      <c r="E6" s="4"/>
      <c r="F6" s="14">
        <f t="shared" ca="1" si="0"/>
        <v>-608.60709523508217</v>
      </c>
      <c r="G6" s="6" t="s">
        <v>53</v>
      </c>
      <c r="H6" s="15">
        <v>10000</v>
      </c>
      <c r="I6" s="13"/>
    </row>
    <row r="7" spans="1:9" x14ac:dyDescent="0.35">
      <c r="A7" s="3" t="s">
        <v>46</v>
      </c>
      <c r="B7" s="3" t="s">
        <v>42</v>
      </c>
      <c r="C7" s="15">
        <v>205</v>
      </c>
      <c r="D7" s="4">
        <v>45352</v>
      </c>
      <c r="E7" s="4"/>
      <c r="F7" s="14">
        <f t="shared" ca="1" si="0"/>
        <v>-310.15075455154295</v>
      </c>
      <c r="G7" s="6" t="s">
        <v>53</v>
      </c>
      <c r="H7" s="15">
        <v>10000</v>
      </c>
      <c r="I7" s="13"/>
    </row>
    <row r="8" spans="1:9" x14ac:dyDescent="0.35">
      <c r="A8" s="3" t="s">
        <v>8</v>
      </c>
      <c r="B8" s="3" t="s">
        <v>26</v>
      </c>
      <c r="C8" s="15">
        <v>570</v>
      </c>
      <c r="D8" s="4">
        <v>45352</v>
      </c>
      <c r="E8" s="4"/>
      <c r="F8" s="14">
        <f t="shared" ca="1" si="0"/>
        <v>-50.123841434397406</v>
      </c>
      <c r="G8" s="6" t="s">
        <v>50</v>
      </c>
      <c r="H8" s="15">
        <v>10000</v>
      </c>
      <c r="I8" s="13"/>
    </row>
    <row r="9" spans="1:9" x14ac:dyDescent="0.35">
      <c r="A9" s="3" t="s">
        <v>9</v>
      </c>
      <c r="B9" s="3" t="s">
        <v>27</v>
      </c>
      <c r="C9" s="15">
        <v>47</v>
      </c>
      <c r="D9" s="4">
        <v>45352</v>
      </c>
      <c r="E9" s="4"/>
      <c r="F9" s="14">
        <f t="shared" ca="1" si="0"/>
        <v>162.11481015869933</v>
      </c>
      <c r="G9" s="6" t="s">
        <v>50</v>
      </c>
      <c r="H9" s="15">
        <v>10000</v>
      </c>
      <c r="I9" s="13"/>
    </row>
    <row r="10" spans="1:9" x14ac:dyDescent="0.35">
      <c r="A10" s="3" t="s">
        <v>18</v>
      </c>
      <c r="B10" s="3" t="s">
        <v>36</v>
      </c>
      <c r="C10" s="15">
        <v>86</v>
      </c>
      <c r="D10" s="4">
        <v>45352</v>
      </c>
      <c r="E10" s="4"/>
      <c r="F10" s="14">
        <f t="shared" ca="1" si="0"/>
        <v>-669.03191155093998</v>
      </c>
      <c r="G10" s="6" t="s">
        <v>50</v>
      </c>
      <c r="H10" s="15">
        <v>10000</v>
      </c>
      <c r="I10" s="13"/>
    </row>
    <row r="11" spans="1:9" x14ac:dyDescent="0.35">
      <c r="A11" s="3" t="s">
        <v>44</v>
      </c>
      <c r="B11" s="3" t="s">
        <v>40</v>
      </c>
      <c r="C11" s="15">
        <v>237</v>
      </c>
      <c r="D11" s="4">
        <v>45352</v>
      </c>
      <c r="E11" s="4"/>
      <c r="F11" s="14">
        <f t="shared" ca="1" si="0"/>
        <v>-538.61263114516692</v>
      </c>
      <c r="G11" s="6" t="s">
        <v>50</v>
      </c>
      <c r="H11" s="15">
        <v>10000</v>
      </c>
      <c r="I11" s="13"/>
    </row>
    <row r="12" spans="1:9" x14ac:dyDescent="0.35">
      <c r="A12" s="3" t="s">
        <v>17</v>
      </c>
      <c r="B12" s="3" t="s">
        <v>35</v>
      </c>
      <c r="C12" s="15">
        <v>586.02</v>
      </c>
      <c r="D12" s="4">
        <v>45352</v>
      </c>
      <c r="E12" s="4"/>
      <c r="F12" s="14">
        <f t="shared" ca="1" si="0"/>
        <v>988.82331613950373</v>
      </c>
      <c r="G12" s="6" t="s">
        <v>48</v>
      </c>
      <c r="H12" s="15">
        <v>10000</v>
      </c>
      <c r="I12" s="13"/>
    </row>
    <row r="13" spans="1:9" x14ac:dyDescent="0.35">
      <c r="A13" s="3" t="s">
        <v>14</v>
      </c>
      <c r="B13" s="3" t="s">
        <v>32</v>
      </c>
      <c r="C13" s="15">
        <v>448.18400000000003</v>
      </c>
      <c r="D13" s="4">
        <v>45352</v>
      </c>
      <c r="E13" s="4"/>
      <c r="F13" s="14">
        <f t="shared" ca="1" si="0"/>
        <v>153.56773750645414</v>
      </c>
      <c r="G13" s="6" t="s">
        <v>48</v>
      </c>
      <c r="H13" s="15">
        <v>10000</v>
      </c>
      <c r="I13" s="13"/>
    </row>
    <row r="14" spans="1:9" x14ac:dyDescent="0.35">
      <c r="A14" s="3" t="s">
        <v>12</v>
      </c>
      <c r="B14" s="3" t="s">
        <v>30</v>
      </c>
      <c r="C14" s="15">
        <v>104.37</v>
      </c>
      <c r="D14" s="4">
        <v>45352</v>
      </c>
      <c r="E14" s="4"/>
      <c r="F14" s="14">
        <f t="shared" ca="1" si="0"/>
        <v>40.832796697769069</v>
      </c>
      <c r="G14" s="6" t="s">
        <v>48</v>
      </c>
      <c r="H14" s="15">
        <v>10000</v>
      </c>
      <c r="I14" s="13"/>
    </row>
    <row r="15" spans="1:9" x14ac:dyDescent="0.35">
      <c r="A15" s="3" t="s">
        <v>10</v>
      </c>
      <c r="B15" s="3" t="s">
        <v>28</v>
      </c>
      <c r="C15" s="15">
        <v>945.54899999999998</v>
      </c>
      <c r="D15" s="4">
        <v>45352</v>
      </c>
      <c r="E15" s="4"/>
      <c r="F15" s="14">
        <f t="shared" ca="1" si="0"/>
        <v>-594.40834458826794</v>
      </c>
      <c r="G15" s="6" t="s">
        <v>48</v>
      </c>
      <c r="H15" s="15">
        <v>10000</v>
      </c>
      <c r="I15" s="13"/>
    </row>
    <row r="16" spans="1:9" x14ac:dyDescent="0.35">
      <c r="A16" s="3" t="s">
        <v>5</v>
      </c>
      <c r="B16" s="3" t="s">
        <v>23</v>
      </c>
      <c r="C16" s="15">
        <v>786.29</v>
      </c>
      <c r="D16" s="4">
        <v>45352</v>
      </c>
      <c r="E16" s="4"/>
      <c r="F16" s="14">
        <f t="shared" ca="1" si="0"/>
        <v>-671.69622848808604</v>
      </c>
      <c r="G16" s="6" t="s">
        <v>48</v>
      </c>
      <c r="H16" s="15">
        <v>10000</v>
      </c>
      <c r="I16" s="13"/>
    </row>
    <row r="17" spans="1:9" x14ac:dyDescent="0.35">
      <c r="A17" s="3" t="s">
        <v>13</v>
      </c>
      <c r="B17" s="3" t="s">
        <v>31</v>
      </c>
      <c r="C17" s="15">
        <v>207.953</v>
      </c>
      <c r="D17" s="4">
        <v>45352</v>
      </c>
      <c r="E17" s="4"/>
      <c r="F17" s="14">
        <f t="shared" ca="1" si="0"/>
        <v>-72.594734729235498</v>
      </c>
      <c r="G17" s="6" t="s">
        <v>48</v>
      </c>
      <c r="H17" s="15">
        <v>10000</v>
      </c>
      <c r="I17" s="13"/>
    </row>
    <row r="18" spans="1:9" x14ac:dyDescent="0.35">
      <c r="A18" s="3" t="s">
        <v>7</v>
      </c>
      <c r="B18" s="3" t="s">
        <v>25</v>
      </c>
      <c r="C18" s="15">
        <v>255.42699999999999</v>
      </c>
      <c r="D18" s="4">
        <v>45352</v>
      </c>
      <c r="E18" s="4"/>
      <c r="F18" s="14">
        <f t="shared" ca="1" si="0"/>
        <v>969.96661472523499</v>
      </c>
      <c r="G18" s="6" t="s">
        <v>49</v>
      </c>
      <c r="H18" s="15">
        <v>10000</v>
      </c>
      <c r="I18" s="13"/>
    </row>
    <row r="19" spans="1:9" x14ac:dyDescent="0.35">
      <c r="A19" s="3" t="s">
        <v>19</v>
      </c>
      <c r="B19" s="3" t="s">
        <v>37</v>
      </c>
      <c r="C19" s="15">
        <v>99.85</v>
      </c>
      <c r="D19" s="4">
        <v>45352</v>
      </c>
      <c r="E19" s="4"/>
      <c r="F19" s="14">
        <f t="shared" ca="1" si="0"/>
        <v>-4.246112666821622</v>
      </c>
      <c r="G19" s="6" t="s">
        <v>54</v>
      </c>
      <c r="H19" s="15">
        <v>10000</v>
      </c>
      <c r="I19" s="13"/>
    </row>
    <row r="20" spans="1:9" x14ac:dyDescent="0.35">
      <c r="A20" s="5" t="s">
        <v>20</v>
      </c>
      <c r="B20" s="5" t="s">
        <v>38</v>
      </c>
      <c r="C20" s="15">
        <v>0</v>
      </c>
      <c r="D20" s="4">
        <v>45352</v>
      </c>
      <c r="E20" s="4">
        <v>45901</v>
      </c>
      <c r="F20" s="14">
        <f t="shared" ca="1" si="0"/>
        <v>401.15939284467458</v>
      </c>
      <c r="G20" s="6" t="s">
        <v>47</v>
      </c>
      <c r="H20" s="15">
        <v>0</v>
      </c>
      <c r="I20" s="13"/>
    </row>
    <row r="21" spans="1:9" x14ac:dyDescent="0.35">
      <c r="A21" s="5" t="s">
        <v>16</v>
      </c>
      <c r="B21" s="5" t="s">
        <v>34</v>
      </c>
      <c r="C21" s="15">
        <v>0</v>
      </c>
      <c r="D21" s="4">
        <v>45352</v>
      </c>
      <c r="E21" s="4">
        <v>45618</v>
      </c>
      <c r="F21" s="14">
        <f ca="1">(RAND()-0.5)*2000</f>
        <v>683.1880322870478</v>
      </c>
      <c r="G21" s="6" t="s">
        <v>48</v>
      </c>
      <c r="H21" s="15">
        <v>0</v>
      </c>
      <c r="I21" s="13"/>
    </row>
    <row r="22" spans="1:9" x14ac:dyDescent="0.35">
      <c r="A22" s="5" t="s">
        <v>3</v>
      </c>
      <c r="B22" s="5" t="s">
        <v>21</v>
      </c>
      <c r="C22" s="15">
        <v>0</v>
      </c>
      <c r="D22" s="4">
        <v>45352</v>
      </c>
      <c r="E22" s="4">
        <v>45662</v>
      </c>
      <c r="F22" s="14">
        <f t="shared" ca="1" si="0"/>
        <v>-925.01788043957208</v>
      </c>
      <c r="G22" s="6" t="s">
        <v>47</v>
      </c>
      <c r="H22" s="15">
        <v>0</v>
      </c>
      <c r="I22" s="13"/>
    </row>
    <row r="23" spans="1:9" x14ac:dyDescent="0.35">
      <c r="A23" s="5" t="s">
        <v>11</v>
      </c>
      <c r="B23" s="5" t="s">
        <v>29</v>
      </c>
      <c r="C23" s="15">
        <v>0</v>
      </c>
      <c r="D23" s="4">
        <v>45352</v>
      </c>
      <c r="E23" s="4">
        <v>46127</v>
      </c>
      <c r="F23" s="14">
        <f t="shared" ca="1" si="0"/>
        <v>913.10158183235285</v>
      </c>
      <c r="G23" s="6" t="s">
        <v>48</v>
      </c>
      <c r="H23" s="15">
        <v>0</v>
      </c>
      <c r="I23" s="13"/>
    </row>
    <row r="24" spans="1:9" x14ac:dyDescent="0.35">
      <c r="A24" s="10" t="s">
        <v>57</v>
      </c>
      <c r="B24" s="10"/>
      <c r="C24" s="10"/>
      <c r="D24" s="10"/>
      <c r="E24" s="11"/>
      <c r="F24" s="14">
        <f ca="1">SUBTOTAL(109,Table1[P&amp;L])</f>
        <v>303.17230272133781</v>
      </c>
      <c r="G24" s="12"/>
      <c r="H24" s="9">
        <f>SUBTOTAL(109,Table1[Controvalore])</f>
        <v>171000</v>
      </c>
      <c r="I24" s="3"/>
    </row>
  </sheetData>
  <conditionalFormatting sqref="A2:A19">
    <cfRule type="containsText" dxfId="28" priority="45" stopIfTrue="1" operator="containsText" text="BTP">
      <formula>NOT(ISERROR(SEARCH("BTP",A2)))</formula>
    </cfRule>
    <cfRule type="expression" dxfId="27" priority="46" stopIfTrue="1">
      <formula>IF(AND(ISNUMBER(SEARCH("H2O", A2)), ISNUMBER(SEARCH("SP", A2))), 1,0)</formula>
    </cfRule>
  </conditionalFormatting>
  <conditionalFormatting sqref="C2 C3:D23">
    <cfRule type="containsBlanks" dxfId="26" priority="43">
      <formula>LEN(TRIM(C2))=0</formula>
    </cfRule>
  </conditionalFormatting>
  <conditionalFormatting sqref="G2:G23">
    <cfRule type="containsText" dxfId="25" priority="14" operator="containsText" text="NEW">
      <formula>NOT(ISERROR(SEARCH("NEW",G2)))</formula>
    </cfRule>
    <cfRule type="containsText" dxfId="24" priority="15" operator="containsText" text="Multi-Asset">
      <formula>NOT(ISERROR(SEARCH("Multi-Asset",G2)))</formula>
    </cfRule>
    <cfRule type="containsText" dxfId="23" priority="16" operator="containsText" text="Altro">
      <formula>NOT(ISERROR(SEARCH("Altro",G2)))</formula>
    </cfRule>
    <cfRule type="containsText" dxfId="22" priority="17" operator="containsText" text="Obbligazionario">
      <formula>NOT(ISERROR(SEARCH("Obbligazionario",G2)))</formula>
    </cfRule>
    <cfRule type="containsText" dxfId="21" priority="18" operator="containsText" text="Obblig.">
      <formula>NOT(ISERROR(SEARCH("Obblig.",G2)))</formula>
    </cfRule>
    <cfRule type="containsText" dxfId="20" priority="19" operator="containsText" text="ETF">
      <formula>NOT(ISERROR(SEARCH("ETF",G2)))</formula>
    </cfRule>
    <cfRule type="containsText" dxfId="19" priority="20" operator="containsText" text="Azionario">
      <formula>NOT(ISERROR(SEARCH("Azionario",G2)))</formula>
    </cfRule>
    <cfRule type="containsText" dxfId="18" priority="21" operator="containsText" text="Liquidità">
      <formula>NOT(ISERROR(SEARCH("Liquidità",G2)))</formula>
    </cfRule>
    <cfRule type="containsText" dxfId="17" priority="22" operator="containsText" text="Bilanciato">
      <formula>NOT(ISERROR(SEARCH("Bilanciato",G2)))</formula>
    </cfRule>
    <cfRule type="containsText" dxfId="16" priority="23" operator="containsText" text="Certif">
      <formula>NOT(ISERROR(SEARCH("Certif",G2)))</formula>
    </cfRule>
  </conditionalFormatting>
  <conditionalFormatting sqref="A20:A23">
    <cfRule type="containsText" dxfId="15" priority="5" stopIfTrue="1" operator="containsText" text="BTP">
      <formula>NOT(ISERROR(SEARCH("BTP",A20)))</formula>
    </cfRule>
    <cfRule type="expression" dxfId="14" priority="6" stopIfTrue="1">
      <formula>IF(AND(ISNUMBER(SEARCH("H2O", A20)), ISNUMBER(SEARCH("SP", A20))), 1,0)</formula>
    </cfRule>
  </conditionalFormatting>
  <conditionalFormatting sqref="A23">
    <cfRule type="containsText" dxfId="13" priority="2" stopIfTrue="1" operator="containsText" text="BTP">
      <formula>NOT(ISERROR(SEARCH("BTP",A23)))</formula>
    </cfRule>
    <cfRule type="expression" dxfId="12" priority="3" stopIfTrue="1">
      <formula>IF(AND(ISNUMBER(SEARCH("H2O", A23)), ISNUMBER(SEARCH("SP", A23))), 1,0)</formula>
    </cfRule>
  </conditionalFormatting>
  <conditionalFormatting sqref="C20:D23">
    <cfRule type="containsBlanks" dxfId="11" priority="4">
      <formula>LEN(TRIM(C20))=0</formula>
    </cfRule>
  </conditionalFormatting>
  <conditionalFormatting sqref="H2:H23">
    <cfRule type="containsBlanks" dxfId="10" priority="1">
      <formula>LEN(TRIM(H2))=0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2026-02-02T13:39:34Z</dcterms:modified>
</cp:coreProperties>
</file>