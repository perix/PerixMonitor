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2FB6C1A6-BD70-4CC0-A21D-6B61E3AF00D7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I4" i="1" s="1"/>
  <c r="H3" i="1"/>
  <c r="I3" i="1" s="1"/>
  <c r="H2" i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<sst xmlns="http://schemas.openxmlformats.org/spreadsheetml/2006/main" count="21" uniqueCount="17">
  <si>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</si>
  <si>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</si>
  <si>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</si>
  <si>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</si>
  <si>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</si>
  <si>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</si>
  <si>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</si>
  <si>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</si>
  <si>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</si>
  <si>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</si>
  <si>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BTP FEBBR 26 0.5%</t>
  </si>
  <si>
    <t>Nordea 1 - Alpha 15 Ma Fund Bp Eur</t>
  </si>
  <si>
    <t>BTP 2025/02/01 0,35%</t>
  </si>
  <si>
    <t>IT0005419848</t>
  </si>
  <si>
    <t>LU0607983896</t>
  </si>
  <si>
    <t>IT0005386245</t>
  </si>
  <si>
    <t>Vendita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</si>
</sst>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Fill="1" applyBorder="1"/>
    <xf numFmtId="2" fontId="0" fillId="0" borderId="5" xfId="0" applyNumberFormat="1" applyFill="1" applyBorder="1"/>
    <xf numFmtId="164" fontId="0" fillId="0" borderId="5" xfId="0" applyNumberFormat="1" applyFill="1" applyBorder="1" applyAlignment="1">
      <alignment horizontal="center" vertical="center"/>
    </xf>
    <xf numFmtId="14" fontId="0" fillId="0" borderId="5" xfId="0" applyNumberForma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8" fontId="0" fillId="0" borderId="5" xfId="0" applyNumberFormat="1" applyFill="1" applyBorder="1"/>
  </cellXfs>
  <cellStyles count="1">
    <cellStyle name="Normal" xfId="0" builtinId="0"/>
  </cellStyles>
  <dxfs count="47"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indexed="64"/>
        </left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I4" totalsRowShown="0" headerRowDxfId="44" dataDxfId="45" tableBorderDxfId="46">
  <autoFilter ref="A1:I4" xr:uid="{04F4BF02-F5A0-427F-92C4-A60283CF04F1}"/>
  <tableColumns count="9">
    <tableColumn id="1" xr3:uid="{B8061C36-8993-4203-ABD6-C7BF7558D40C}" name="Descrizione Titolo" dataDxfId="43"/>
    <tableColumn id="2" xr3:uid="{C4CDF0AD-2602-44A7-AA26-292542A274A0}" name="ISIN" dataDxfId="42"/>
    <tableColumn id="3" xr3:uid="{0A18EC50-C250-41F4-83C1-E84B3FDD76A5}" name="Quantità" dataDxfId="41"/>
    <tableColumn id="4" xr3:uid="{F21CA34D-52E3-4C7A-A959-24C01F694687}" name="Divisa" dataDxfId="40"/>
    <tableColumn id="5" xr3:uid="{5C9AD5B2-888B-43C8-AC2C-1789ADAB0AD8}" name="Prezzo Carico (EUR)" dataDxfId="37"/>
    <tableColumn id="6" xr3:uid="{1CC3BD49-EF04-4684-84DC-5AB42F08A1CD}" name="Data (acquisto/vendita)" dataDxfId="35"/>
    <tableColumn id="7" xr3:uid="{0B72A75D-196B-42C0-9E49-163198DF8CDB}" name="Operazione" dataDxfId="36"/>
    <tableColumn id="8" xr3:uid="{8C52C664-8EA8-4E89-892F-C9CCC6BB2E54}" name="Prezzo Operazione (EUR)" dataDxfId="39">
      <calculatedColumnFormula>+Table1[[#This Row],[Prezzo Carico (EUR)]]</calculatedColumnFormula>
    </tableColumn>
    <tableColumn id="9" xr3:uid="{20AB3F10-3CEF-4BB7-ACA8-F58F613D5EBF}" name="Prezzo Corrente (EUR)" dataDxfId="38">
      <calculatedColumnFormula>+Table1[[#This Row],[Prezzo Operazione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4"/>
  <sheetViews>
    <sheetView showGridLines="0" tabSelected="1" workbookViewId="0">
      <selection activeCell="E15" sqref="E15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5" max="15" width="13.08984375" bestFit="1" customWidth="1"/>
  </cols>
  <sheetData>
    <row r="1" spans="1:9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9</v>
      </c>
      <c r="I1" s="5" t="s">
        <v>8</v>
      </c>
    </row>
    <row r="2" spans="1:9" x14ac:dyDescent="0.35">
      <c r="A2" s="6" t="s">
        <v>10</v>
      </c>
      <c r="B2" s="6" t="s">
        <v>13</v>
      </c>
      <c r="C2" s="7">
        <v>200</v>
      </c>
      <c r="D2" s="8" t="s">
        <v>7</v>
      </c>
      <c r="E2" s="7">
        <v>99.77</v>
      </c>
      <c r="F2" s="9">
        <v>46000</v>
      </c>
      <c r="G2" s="10" t="s">
        <v>16</v>
      </c>
      <c r="H2" s="11">
        <f>+Table1[[#This Row],[Prezzo Carico (EUR)]]</f>
        <v>99.77</v>
      </c>
      <c r="I2" s="11">
        <f>+Table1[[#This Row],[Prezzo Operazione (EUR)]]</f>
        <v>99.77</v>
      </c>
    </row>
    <row r="3" spans="1:9" x14ac:dyDescent="0.35">
      <c r="A3" s="6" t="s">
        <v>11</v>
      </c>
      <c r="B3" s="6" t="s">
        <v>14</v>
      </c>
      <c r="C3" s="7">
        <v>290.43000000000006</v>
      </c>
      <c r="D3" s="8" t="s">
        <v>7</v>
      </c>
      <c r="E3" s="7">
        <v>87.51</v>
      </c>
      <c r="F3" s="9">
        <v>45807</v>
      </c>
      <c r="G3" s="10" t="s">
        <v>16</v>
      </c>
      <c r="H3" s="11">
        <f>+Table1[[#This Row],[Prezzo Carico (EUR)]]</f>
        <v>87.51</v>
      </c>
      <c r="I3" s="11">
        <f>+Table1[[#This Row],[Prezzo Operazione (EUR)]]</f>
        <v>87.51</v>
      </c>
    </row>
    <row r="4" spans="1:9" x14ac:dyDescent="0.35">
      <c r="A4" s="6" t="s">
        <v>12</v>
      </c>
      <c r="B4" s="6" t="s">
        <v>15</v>
      </c>
      <c r="C4" s="7">
        <v>200</v>
      </c>
      <c r="D4" s="8" t="s">
        <v>7</v>
      </c>
      <c r="E4" s="7">
        <v>100</v>
      </c>
      <c r="F4" s="9">
        <v>45355</v>
      </c>
      <c r="G4" s="10" t="s">
        <v>16</v>
      </c>
      <c r="H4" s="11">
        <f>+Table1[[#This Row],[Prezzo Carico (EUR)]]</f>
        <v>100</v>
      </c>
      <c r="I4" s="11">
        <f>+Table1[[#This Row],[Prezzo Operazione (EUR)]]</f>
        <v>100</v>
      </c>
    </row>
  </sheetData>
  <conditionalFormatting sqref="A2:A4">
    <cfRule type="containsText" dxfId="6" priority="16" stopIfTrue="1" operator="containsText" text="BTP">
      <formula>NOT(ISERROR(SEARCH("BTP",A2)))</formula>
    </cfRule>
    <cfRule type="expression" dxfId="5" priority="17" stopIfTrue="1">
      <formula>IF(AND(ISNUMBER(SEARCH("H2O", A2)), ISNUMBER(SEARCH("SP", A2))), 1,0)</formula>
    </cfRule>
  </conditionalFormatting>
  <conditionalFormatting sqref="D2:D4">
    <cfRule type="notContainsText" dxfId="4" priority="18" stopIfTrue="1" operator="notContains" text="EUR">
      <formula>ISERROR(SEARCH("EUR",D2))</formula>
    </cfRule>
    <cfRule type="containsBlanks" dxfId="3" priority="18">
      <formula>LEN(TRIM(D2))=0</formula>
    </cfRule>
  </conditionalFormatting>
  <conditionalFormatting sqref="C2:C4">
    <cfRule type="containsBlanks" dxfId="2" priority="14">
      <formula>LEN(TRIM(C2))=0</formula>
    </cfRule>
  </conditionalFormatting>
  <conditionalFormatting sqref="G2:G4">
    <cfRule type="containsText" dxfId="1" priority="1" operator="containsText" text="Vendita">
      <formula>NOT(ISERROR(SEARCH("Vendita",G2)))</formula>
    </cfRule>
    <cfRule type="containsText" dxfId="0" priority="2" operator="containsText" text="Acquisto">
      <formula>NOT(ISERROR(SEARCH("Acquisto",G2)))</formula>
    </cfRule>
  </conditionalFormatting>
  <dataValidations count="1">
    <dataValidation type="list" allowBlank="1" showInputMessage="1" showErrorMessage="1" sqref="G2:G4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2026-01-26T12:02:54Z</dcterms:modified>
</cp:coreProperties>
</file>