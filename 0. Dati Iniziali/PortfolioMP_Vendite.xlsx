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38F8DFC3-2717-47D8-9F5A-61580B30CCC1}" xr6:coauthVersionLast="47" xr6:coauthVersionMax="47" xr10:uidLastSave="{00000000-0000-0000-0000-000000000000}"/>
  <bookViews>
    <workbookView xWindow="4520" yWindow="5120" windowWidth="26800" windowHeight="1034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<sst xmlns="http://schemas.openxmlformats.org/spreadsheetml/2006/main" count="21" uniqueCount="18">
  <si>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</si>
  <si>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</si>
  <si>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</si>
  <si>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</si>
  <si>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</si>
  <si>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</si>
  <si>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</si>
  <si>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Prezzo Corrente (EUR)</t>
  </si>
  <si>
    <t>Prezzo Operazione (EUR)</t>
  </si>
  <si>
    <t>BTP FEBBR 26 0.5%</t>
  </si>
  <si>
    <t>Nordea 1 - Alpha 15 Ma Fund Bp Eur</t>
  </si>
  <si>
    <t>BTP 2025/02/01 0,35%</t>
  </si>
  <si>
    <t>IT0005419848</t>
  </si>
  <si>
    <t>LU0607983896</t>
  </si>
  <si>
    <t>IT0005386245</t>
  </si>
  <si>
    <t>Vendita</t>
  </si>
  <si>
    <t>MEDIOBANCA AB N</t>
  </si>
  <si>
    <t>IT0005630253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</si>
</sst>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8" fontId="0" fillId="0" borderId="5" xfId="0" applyNumberFormat="1" applyBorder="1"/>
    <xf numFmtId="0" fontId="0" fillId="0" borderId="5" xfId="0" applyFill="1" applyBorder="1"/>
    <xf numFmtId="2" fontId="0" fillId="0" borderId="5" xfId="0" applyNumberFormat="1" applyFill="1" applyBorder="1"/>
    <xf numFmtId="164" fontId="0" fillId="0" borderId="5" xfId="0" applyNumberFormat="1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/>
    </xf>
    <xf numFmtId="8" fontId="0" fillId="0" borderId="5" xfId="0" applyNumberFormat="1" applyFill="1" applyBorder="1"/>
    <xf numFmtId="8" fontId="0" fillId="0" borderId="0" xfId="0" applyNumberFormat="1"/>
  </cellXfs>
  <cellStyles count="1">
    <cellStyle name="Normal" xfId="0" builtinId="0"/>
  </cellStyles>
  <dxfs count="21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I5" totalsRowShown="0" headerRowDxfId="20" dataDxfId="19" tableBorderDxfId="18">
  <autoFilter ref="A1:I5" xr:uid="{04F4BF02-F5A0-427F-92C4-A60283CF04F1}"/>
  <sortState xmlns:xlrd2="http://schemas.microsoft.com/office/spreadsheetml/2017/richdata2" ref="A2:I5">
    <sortCondition ref="F1:F5"/>
  </sortState>
  <tableColumns count="9">
    <tableColumn id="1" xr3:uid="{B8061C36-8993-4203-ABD6-C7BF7558D40C}" name="Descrizione Titolo" dataDxfId="17"/>
    <tableColumn id="2" xr3:uid="{C4CDF0AD-2602-44A7-AA26-292542A274A0}" name="ISIN" dataDxfId="16"/>
    <tableColumn id="3" xr3:uid="{0A18EC50-C250-41F4-83C1-E84B3FDD76A5}" name="Quantità" dataDxfId="15"/>
    <tableColumn id="4" xr3:uid="{F21CA34D-52E3-4C7A-A959-24C01F694687}" name="Divisa" dataDxfId="14"/>
    <tableColumn id="5" xr3:uid="{5C9AD5B2-888B-43C8-AC2C-1789ADAB0AD8}" name="Prezzo Carico (EUR)" dataDxfId="13"/>
    <tableColumn id="6" xr3:uid="{1CC3BD49-EF04-4684-84DC-5AB42F08A1CD}" name="Data (acquisto/vendita)" dataDxfId="12"/>
    <tableColumn id="7" xr3:uid="{0B72A75D-196B-42C0-9E49-163198DF8CDB}" name="Operazione" dataDxfId="11"/>
    <tableColumn id="8" xr3:uid="{8C52C664-8EA8-4E89-892F-C9CCC6BB2E54}" name="Prezzo Operazione (EUR)" dataDxfId="10"/>
    <tableColumn id="9" xr3:uid="{20AB3F10-3CEF-4BB7-ACA8-F58F613D5EBF}" name="Prezzo Corrente (EUR)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10"/>
  <sheetViews>
    <sheetView showGridLines="0" tabSelected="1" workbookViewId="0">
      <selection activeCell="H5" sqref="H5"/>
    </sheetView>
  </sheetViews>
  <sheetFormatPr defaultRowHeight="14.5" x14ac:dyDescent="0.35"/>
  <cols>
    <col min="1" max="1" width="29.453125" bestFit="1" customWidth="1"/>
    <col min="2" max="2" width="19.453125" customWidth="1"/>
    <col min="3" max="3" width="13" customWidth="1"/>
    <col min="4" max="4" width="17.6328125" customWidth="1"/>
    <col min="5" max="5" width="19.08984375" customWidth="1"/>
    <col min="6" max="6" width="22.6328125" customWidth="1"/>
    <col min="7" max="7" width="16.54296875" customWidth="1"/>
    <col min="8" max="8" width="23.08984375" customWidth="1"/>
    <col min="9" max="9" width="21.90625" customWidth="1"/>
    <col min="15" max="15" width="13.0898437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8</v>
      </c>
      <c r="I1" s="5" t="s">
        <v>7</v>
      </c>
    </row>
    <row r="2" spans="1:9" x14ac:dyDescent="0.35">
      <c r="A2" s="6" t="s">
        <v>11</v>
      </c>
      <c r="B2" s="6" t="s">
        <v>14</v>
      </c>
      <c r="C2" s="7">
        <v>200</v>
      </c>
      <c r="D2" s="8"/>
      <c r="E2" s="7"/>
      <c r="F2" s="9">
        <v>45691</v>
      </c>
      <c r="G2" s="10" t="s">
        <v>15</v>
      </c>
      <c r="H2" s="11">
        <v>100</v>
      </c>
      <c r="I2" s="11"/>
    </row>
    <row r="3" spans="1:9" x14ac:dyDescent="0.35">
      <c r="A3" s="6" t="s">
        <v>10</v>
      </c>
      <c r="B3" s="6" t="s">
        <v>13</v>
      </c>
      <c r="C3" s="7">
        <v>290.43000000000006</v>
      </c>
      <c r="D3" s="8"/>
      <c r="E3" s="7"/>
      <c r="F3" s="9">
        <v>45807</v>
      </c>
      <c r="G3" s="10" t="s">
        <v>15</v>
      </c>
      <c r="H3" s="11">
        <v>87.51</v>
      </c>
      <c r="I3" s="11"/>
    </row>
    <row r="4" spans="1:9" x14ac:dyDescent="0.35">
      <c r="A4" s="6" t="s">
        <v>9</v>
      </c>
      <c r="B4" s="6" t="s">
        <v>12</v>
      </c>
      <c r="C4" s="7">
        <v>200</v>
      </c>
      <c r="D4" s="8"/>
      <c r="E4" s="7"/>
      <c r="F4" s="9">
        <v>46000</v>
      </c>
      <c r="G4" s="10" t="s">
        <v>15</v>
      </c>
      <c r="H4" s="11">
        <v>99.77</v>
      </c>
      <c r="I4" s="11"/>
    </row>
    <row r="5" spans="1:9" x14ac:dyDescent="0.35">
      <c r="A5" s="12" t="s">
        <v>16</v>
      </c>
      <c r="B5" s="12" t="s">
        <v>17</v>
      </c>
      <c r="C5" s="7">
        <v>3198</v>
      </c>
      <c r="D5" s="14"/>
      <c r="E5" s="13"/>
      <c r="F5" s="15">
        <v>46038</v>
      </c>
      <c r="G5" s="10" t="s">
        <v>15</v>
      </c>
      <c r="H5" s="11">
        <f>16162.69/Table1[[#This Row],[Quantità]]</f>
        <v>5.0539993746091305</v>
      </c>
      <c r="I5" s="16"/>
    </row>
    <row r="10" spans="1:9" x14ac:dyDescent="0.35">
      <c r="H10" s="17"/>
    </row>
  </sheetData>
  <conditionalFormatting sqref="A2:A5">
    <cfRule type="containsText" dxfId="8" priority="18" stopIfTrue="1" operator="containsText" text="BTP">
      <formula>NOT(ISERROR(SEARCH("BTP",A2)))</formula>
    </cfRule>
    <cfRule type="expression" dxfId="7" priority="19" stopIfTrue="1">
      <formula>IF(AND(ISNUMBER(SEARCH("H2O", A2)), ISNUMBER(SEARCH("SP", A2))), 1,0)</formula>
    </cfRule>
  </conditionalFormatting>
  <conditionalFormatting sqref="C2:C4">
    <cfRule type="containsBlanks" dxfId="6" priority="16">
      <formula>LEN(TRIM(C2))=0</formula>
    </cfRule>
  </conditionalFormatting>
  <conditionalFormatting sqref="G2:G5">
    <cfRule type="containsText" dxfId="3" priority="3" operator="containsText" text="Vendita">
      <formula>NOT(ISERROR(SEARCH("Vendita",G2)))</formula>
    </cfRule>
    <cfRule type="containsText" dxfId="2" priority="4" operator="containsText" text="Acquisto">
      <formula>NOT(ISERROR(SEARCH("Acquisto",G2)))</formula>
    </cfRule>
  </conditionalFormatting>
  <conditionalFormatting sqref="A5">
    <cfRule type="containsText" dxfId="1" priority="1" stopIfTrue="1" operator="containsText" text="BTP">
      <formula>NOT(ISERROR(SEARCH("BTP",A5)))</formula>
    </cfRule>
    <cfRule type="expression" dxfId="0" priority="2" stopIfTrue="1">
      <formula>IF(AND(ISNUMBER(SEARCH("H2O", A5)), ISNUMBER(SEARCH("SP", A5))), 1,0)</formula>
    </cfRule>
  </conditionalFormatting>
  <dataValidations count="1">
    <dataValidation type="list" allowBlank="1" showInputMessage="1" showErrorMessage="1" sqref="G2:G5" xr:uid="{786B1B08-543B-41BE-8266-499A04655516}">
      <formula1>"Acquisto,Vendita,-"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2026-01-31T11:50:33Z</dcterms:modified>
</cp:coreProperties>
</file>