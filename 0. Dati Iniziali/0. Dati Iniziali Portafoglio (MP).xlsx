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F6A80EB3-9524-4D7F-BED5-652915776C50}" xr6:coauthVersionLast="47" xr6:coauthVersionMax="47" xr10:uidLastSave="{00000000-0000-0000-0000-000000000000}"/>
  <bookViews>
    <workbookView xWindow="57480" yWindow="-120" windowWidth="29040" windowHeight="18240" xr2:uid="{E46CD4E9-409F-4F88-BD10-238E0FEEE9DF}"/>
  </bookViews>
  <sheets>
    <sheet name="Sheet1" sheetId="1" r:id="rId1"/>
  </sheets>
  <definedNames>
    <definedName name="ControvalorePortafoglio">Sheet1!$K$2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G20" i="1"/>
  <c r="K18" i="1" s="1"/>
  <c r="R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5B092638-ECE7-40CA-91E8-6F681B88B119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B8FF9002-EB78-4EC4-8356-52092CC8A1D5}">
      <text>
        <r>
          <rPr>
            <b/>
            <sz val="9"/>
            <color indexed="81"/>
            <rFont val="Tahoma"/>
            <family val="2"/>
          </rPr>
          <t>In divisa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<sst xmlns="http://schemas.openxmlformats.org/spreadsheetml/2006/main" count="138" uniqueCount="86">
  <si>
    <t>Descrizione Titolo</t>
  </si>
  <si>
    <t>ISIN</t>
  </si>
  <si>
    <t>Quantità</t>
  </si>
  <si>
    <t>Divisa</t>
  </si>
  <si>
    <t>Prezzo Carico</t>
  </si>
  <si>
    <t>Prezzo Mercato</t>
  </si>
  <si>
    <t>CTV in Euro</t>
  </si>
  <si>
    <t>Utile/Perdita</t>
  </si>
  <si>
    <t>Data Ora Import</t>
  </si>
  <si>
    <t>ID</t>
  </si>
  <si>
    <t>% PTF</t>
  </si>
  <si>
    <t>Prezzo EUR</t>
  </si>
  <si>
    <t>Controvalore</t>
  </si>
  <si>
    <t>Delta</t>
  </si>
  <si>
    <t>Var %</t>
  </si>
  <si>
    <t>Tipologia</t>
  </si>
  <si>
    <t>AMUNDI ELTIF PIR AP</t>
  </si>
  <si>
    <t>LU2906336990</t>
  </si>
  <si>
    <t>EUR</t>
  </si>
  <si>
    <t>BTP01.03.22-01.04.27</t>
  </si>
  <si>
    <t>IT0005484552</t>
  </si>
  <si>
    <t>FID ASIA AGGR AC EUR</t>
  </si>
  <si>
    <t>LU0345361124</t>
  </si>
  <si>
    <t>FID GLO QLTY USD EUR</t>
  </si>
  <si>
    <t>IE00BYXVGZ48</t>
  </si>
  <si>
    <t>H2O MULTIBONDS R EUR</t>
  </si>
  <si>
    <t>FR0013393329</t>
  </si>
  <si>
    <t>H2O MULTISTRATEGIES</t>
  </si>
  <si>
    <t>FR0010923383</t>
  </si>
  <si>
    <t>ISHS MSCI WORLD EUR</t>
  </si>
  <si>
    <t>IE00B4L5Y983</t>
  </si>
  <si>
    <t>M&amp;G EUROP STRA VAL A</t>
  </si>
  <si>
    <t>LU1670707527</t>
  </si>
  <si>
    <t>MEDIOBANCA AB N</t>
  </si>
  <si>
    <t>IT0005630253</t>
  </si>
  <si>
    <t>MSIF GL BRDS AC</t>
  </si>
  <si>
    <t>LU0119620416</t>
  </si>
  <si>
    <t>USD</t>
  </si>
  <si>
    <t>MSIF GL OPP AC</t>
  </si>
  <si>
    <t>LU0552385295</t>
  </si>
  <si>
    <t>N1 CLIM ENV EQ B EUR</t>
  </si>
  <si>
    <t>LU0348926287</t>
  </si>
  <si>
    <t>N1 EUR BANK D BP EUR</t>
  </si>
  <si>
    <t>LU0772944145</t>
  </si>
  <si>
    <t>SISF ASIAN OP AC EUR</t>
  </si>
  <si>
    <t>LU0248184466</t>
  </si>
  <si>
    <t>XTRACKERS INFORM EUR</t>
  </si>
  <si>
    <t>IE00BM67HT60</t>
  </si>
  <si>
    <t>Total</t>
  </si>
  <si>
    <t>0017</t>
  </si>
  <si>
    <t/>
  </si>
  <si>
    <t>ELTIF</t>
  </si>
  <si>
    <t>0002</t>
  </si>
  <si>
    <t>Fondo Obblig. Governativo</t>
  </si>
  <si>
    <t>0003</t>
  </si>
  <si>
    <t>Fondo Azionario</t>
  </si>
  <si>
    <t>0006</t>
  </si>
  <si>
    <t>ETF azionario</t>
  </si>
  <si>
    <t>0004</t>
  </si>
  <si>
    <t>Fondo Obblig.</t>
  </si>
  <si>
    <t>0005</t>
  </si>
  <si>
    <t>Multi-Asset</t>
  </si>
  <si>
    <t>0007</t>
  </si>
  <si>
    <t>0008</t>
  </si>
  <si>
    <t>0009</t>
  </si>
  <si>
    <t>0010</t>
  </si>
  <si>
    <t>0011</t>
  </si>
  <si>
    <t>0012</t>
  </si>
  <si>
    <t>0013</t>
  </si>
  <si>
    <t>0015</t>
  </si>
  <si>
    <t>0016</t>
  </si>
  <si>
    <t>TER</t>
  </si>
  <si>
    <t>TIR</t>
  </si>
  <si>
    <t>IT0005419848</t>
  </si>
  <si>
    <t>BTP FEBBR 26 0.5%</t>
  </si>
  <si>
    <t>IT0005386245</t>
  </si>
  <si>
    <t>BTP 2025/02/01 0,35%</t>
  </si>
  <si>
    <t>LU0607983896</t>
  </si>
  <si>
    <t>Nordea 1 - Alpha 15 Ma Fund Bp Eur</t>
  </si>
  <si>
    <t>Status</t>
  </si>
  <si>
    <t>Open</t>
  </si>
  <si>
    <t>Closed</t>
  </si>
  <si>
    <t>0001</t>
  </si>
  <si>
    <t>0018</t>
  </si>
  <si>
    <t>0014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</si>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</sst>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164" formatCode="#,##0.00;;\-"/>
    <numFmt numFmtId="165" formatCode="0.0000"/>
    <numFmt numFmtId="166" formatCode="#,##0.00\ &quot;€&quot;;[Red]\-#,##0.00\ &quot;€&quot;;\-"/>
    <numFmt numFmtId="167" formatCode="0.0%"/>
    <numFmt numFmtId="168" formatCode="#,##0.0000\ &quot;€&quot;;[Red]\-#,##0.0000\ &quot;€&quot;"/>
    <numFmt numFmtId="169" formatCode="[Color50]0.00%;[Red]\ \-0.00%;\ \-"/>
    <numFmt numFmtId="170" formatCode="0.00%;\-0.00%;&quot;(na)&quot;"/>
    <numFmt numFmtId="171" formatCode="[Color50]\+0.00%;[Red]\-0.00%;\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gray06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69" fontId="2" fillId="0" borderId="1" xfId="0" applyNumberFormat="1" applyFont="1" applyBorder="1" applyAlignment="1">
      <alignment horizontal="center"/>
    </xf>
    <xf numFmtId="169" fontId="2" fillId="3" borderId="1" xfId="0" applyNumberFormat="1" applyFont="1" applyFill="1" applyBorder="1" applyAlignment="1">
      <alignment horizontal="center"/>
    </xf>
    <xf numFmtId="171" fontId="2" fillId="5" borderId="1" xfId="0" applyNumberFormat="1" applyFont="1" applyFill="1" applyBorder="1" applyAlignment="1">
      <alignment horizontal="right" vertical="center"/>
    </xf>
    <xf numFmtId="0" fontId="0" fillId="3" borderId="2" xfId="0" applyFill="1" applyBorder="1"/>
    <xf numFmtId="4" fontId="0" fillId="3" borderId="2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/>
    <xf numFmtId="166" fontId="0" fillId="3" borderId="2" xfId="0" applyNumberFormat="1" applyFill="1" applyBorder="1"/>
    <xf numFmtId="8" fontId="0" fillId="3" borderId="2" xfId="0" applyNumberFormat="1" applyFill="1" applyBorder="1"/>
    <xf numFmtId="22" fontId="0" fillId="3" borderId="2" xfId="0" applyNumberFormat="1" applyFill="1" applyBorder="1"/>
    <xf numFmtId="0" fontId="0" fillId="0" borderId="2" xfId="0" applyBorder="1"/>
    <xf numFmtId="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/>
    <xf numFmtId="166" fontId="0" fillId="0" borderId="2" xfId="0" applyNumberFormat="1" applyBorder="1"/>
    <xf numFmtId="8" fontId="0" fillId="0" borderId="2" xfId="0" applyNumberFormat="1" applyBorder="1"/>
    <xf numFmtId="22" fontId="0" fillId="0" borderId="2" xfId="0" applyNumberFormat="1" applyBorder="1"/>
    <xf numFmtId="0" fontId="0" fillId="3" borderId="3" xfId="0" applyFill="1" applyBorder="1"/>
    <xf numFmtId="0" fontId="0" fillId="0" borderId="3" xfId="0" applyBorder="1"/>
    <xf numFmtId="0" fontId="1" fillId="4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168" fontId="0" fillId="3" borderId="1" xfId="0" applyNumberFormat="1" applyFill="1" applyBorder="1" applyAlignment="1">
      <alignment horizontal="center"/>
    </xf>
    <xf numFmtId="8" fontId="0" fillId="3" borderId="1" xfId="0" applyNumberFormat="1" applyFill="1" applyBorder="1"/>
    <xf numFmtId="16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22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8" fontId="0" fillId="0" borderId="1" xfId="0" applyNumberFormat="1" applyBorder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0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0" xfId="0" applyFill="1"/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8" fontId="0" fillId="7" borderId="4" xfId="0" applyNumberFormat="1" applyFill="1" applyBorder="1"/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0" fontId="2" fillId="7" borderId="5" xfId="0" applyFont="1" applyFill="1" applyBorder="1" applyAlignment="1">
      <alignment horizontal="center"/>
    </xf>
    <xf numFmtId="0" fontId="0" fillId="6" borderId="5" xfId="0" applyFill="1" applyBorder="1"/>
    <xf numFmtId="0" fontId="3" fillId="7" borderId="5" xfId="0" applyFont="1" applyFill="1" applyBorder="1" applyAlignment="1">
      <alignment vertical="center"/>
    </xf>
    <xf numFmtId="171" fontId="0" fillId="6" borderId="5" xfId="0" applyNumberFormat="1" applyFill="1" applyBorder="1"/>
    <xf numFmtId="0" fontId="0" fillId="6" borderId="0" xfId="0" applyFill="1"/>
    <xf numFmtId="0" fontId="0" fillId="3" borderId="6" xfId="0" applyFill="1" applyBorder="1"/>
    <xf numFmtId="0" fontId="0" fillId="3" borderId="7" xfId="0" applyFill="1" applyBorder="1"/>
    <xf numFmtId="4" fontId="0" fillId="3" borderId="7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 vertical="center"/>
    </xf>
    <xf numFmtId="165" fontId="0" fillId="3" borderId="7" xfId="0" applyNumberFormat="1" applyFill="1" applyBorder="1"/>
    <xf numFmtId="166" fontId="0" fillId="3" borderId="7" xfId="0" applyNumberFormat="1" applyFill="1" applyBorder="1"/>
    <xf numFmtId="8" fontId="0" fillId="3" borderId="7" xfId="0" applyNumberFormat="1" applyFill="1" applyBorder="1"/>
    <xf numFmtId="22" fontId="0" fillId="3" borderId="7" xfId="0" applyNumberFormat="1" applyFill="1" applyBorder="1"/>
    <xf numFmtId="22" fontId="0" fillId="3" borderId="8" xfId="0" applyNumberFormat="1" applyFill="1" applyBorder="1" applyAlignment="1">
      <alignment horizontal="center"/>
    </xf>
    <xf numFmtId="167" fontId="0" fillId="3" borderId="8" xfId="0" applyNumberFormat="1" applyFill="1" applyBorder="1" applyAlignment="1">
      <alignment horizontal="center"/>
    </xf>
    <xf numFmtId="168" fontId="0" fillId="3" borderId="8" xfId="0" applyNumberFormat="1" applyFill="1" applyBorder="1" applyAlignment="1">
      <alignment horizontal="center"/>
    </xf>
    <xf numFmtId="8" fontId="0" fillId="3" borderId="8" xfId="0" applyNumberFormat="1" applyFill="1" applyBorder="1"/>
    <xf numFmtId="166" fontId="0" fillId="3" borderId="8" xfId="0" applyNumberFormat="1" applyFill="1" applyBorder="1" applyAlignment="1">
      <alignment horizontal="center"/>
    </xf>
    <xf numFmtId="169" fontId="2" fillId="3" borderId="8" xfId="0" applyNumberFormat="1" applyFont="1" applyFill="1" applyBorder="1" applyAlignment="1">
      <alignment horizontal="center"/>
    </xf>
    <xf numFmtId="170" fontId="0" fillId="5" borderId="8" xfId="0" applyNumberForma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171" fontId="2" fillId="5" borderId="8" xfId="0" applyNumberFormat="1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71" formatCode="[Color50]\+0.00%;[Red]\-0.00%;\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numFmt numFmtId="12" formatCode="#,##0.00\ &quot;€&quot;;[Red]\-#,##0.00\ &quot;€&quot;"/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numFmt numFmtId="12" formatCode="#,##0.00\ &quot;€&quot;;[Red]\-#,##0.00\ &quot;€&quot;"/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theme="9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theme="9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 patternType="lightUp">
          <fgColor rgb="FFFF00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[Color50]0.00%;[Red]\ \-0.00%;\ \-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&quot;€&quot;;[Red]\-#,##0.00\ &quot;€&quot;;\-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#,##0.00\ &quot;€&quot;;[Red]\-#,##0.00\ &quot;€&quot;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#,##0.0000\ &quot;€&quot;;[Red]\-#,##0.0000\ &quot;€&quot;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%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#,##0.00\ &quot;€&quot;;[Red]\-#,##0.00\ &quot;€&quot;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&quot;€&quot;;[Red]\-#,##0.00\ &quot;€&quot;;\-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.00;;\-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>
          <bgColor theme="0"/>
        </patternFill>
      </fill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7DCE9-1D6E-4CB1-A8C5-31AD342050AC}" name="TabPortafoglioImport" displayName="TabPortafoglioImport" ref="A1:T20" totalsRowCount="1" headerRowDxfId="63" totalsRowDxfId="61" tableBorderDxfId="62">
  <autoFilter ref="A1:T19" xr:uid="{53E7DCE9-1D6E-4CB1-A8C5-31AD342050AC}"/>
  <sortState xmlns:xlrd2="http://schemas.microsoft.com/office/spreadsheetml/2017/richdata2" ref="A2:T19">
    <sortCondition ref="J1:J19"/>
  </sortState>
  <tableColumns count="20">
    <tableColumn id="1" xr3:uid="{0A76C93A-0E2F-4FB4-B0CD-E7C20436FDE9}" name="Descrizione Titolo" totalsRowLabel="Total" dataDxfId="60" totalsRowDxfId="19"/>
    <tableColumn id="2" xr3:uid="{A00CA37B-F5E6-4012-9078-8513BA016109}" name="ISIN" dataDxfId="59" totalsRowDxfId="18"/>
    <tableColumn id="3" xr3:uid="{825E3AF6-130B-48EB-BDEB-AFF6525DC2D0}" name="Quantità" dataDxfId="20" totalsRowDxfId="17"/>
    <tableColumn id="4" xr3:uid="{355A7B04-3967-437A-8809-501D818F06D2}" name="Divisa" dataDxfId="58" totalsRowDxfId="16"/>
    <tableColumn id="5" xr3:uid="{2BB7CA77-2788-4E0B-81E9-878DB2B2EAD5}" name="Prezzo Carico" dataDxfId="57" totalsRowDxfId="15"/>
    <tableColumn id="6" xr3:uid="{739EE87A-C40F-4EC3-B35F-EFAF10CEE47A}" name="Prezzo Mercato" dataDxfId="56" totalsRowDxfId="14"/>
    <tableColumn id="7" xr3:uid="{CD409F8E-1196-4E73-AE0B-7A45FE2586BA}" name="CTV in Euro" totalsRowFunction="custom" dataDxfId="55" totalsRowDxfId="13">
      <totalsRowFormula>SUMIFS(TabPortafoglioImport[CTV in Euro],TabPortafoglioImport[Status],"Open")</totalsRowFormula>
    </tableColumn>
    <tableColumn id="8" xr3:uid="{8878BCC7-842F-4F41-81C2-94B36A27A90B}" name="Utile/Perdita" totalsRowFunction="sum" dataDxfId="54" totalsRowDxfId="12"/>
    <tableColumn id="9" xr3:uid="{26B3F637-A269-452E-9160-0395C347F0C8}" name="Data Ora Import" dataDxfId="53" totalsRowDxfId="11"/>
    <tableColumn id="10" xr3:uid="{170A4133-77A8-4498-B04E-73DDD90A3478}" name="ID" dataDxfId="52" totalsRowDxfId="10"/>
    <tableColumn id="11" xr3:uid="{89E12AA1-000A-465C-B9EB-585B04F59B5B}" name="% PTF" dataDxfId="51" totalsRowDxfId="9"/>
    <tableColumn id="12" xr3:uid="{7004DE5B-D468-4E06-AC34-C2AFB89C2794}" name="Prezzo EUR" dataDxfId="50" totalsRowDxfId="8"/>
    <tableColumn id="13" xr3:uid="{DF397E45-79A4-421D-BEA9-99620627DAC8}" name="Controvalore" dataDxfId="49" totalsRowDxfId="7"/>
    <tableColumn id="14" xr3:uid="{8C2AFA2D-032E-4E9F-80B2-9A9B1C250F6B}" name="Delta" dataDxfId="48" totalsRowDxfId="6"/>
    <tableColumn id="15" xr3:uid="{44F58DBF-50F5-4097-B04C-F96B2ED3BEAB}" name="Var %" dataDxfId="47" totalsRowDxfId="5"/>
    <tableColumn id="16" xr3:uid="{AF4C6B99-1CBB-4B99-A4D2-337BBE025CE3}" name="TER" dataDxfId="46" totalsRowDxfId="4"/>
    <tableColumn id="17" xr3:uid="{78DDEBB1-7EBC-43E4-97C6-713EE485F1A6}" name="Tipologia" dataDxfId="45" totalsRowDxfId="3"/>
    <tableColumn id="18" xr3:uid="{E273ECDB-FAB3-410D-80E2-925C162EAB5F}" name="TIR" totalsRowFunction="sum" dataDxfId="44" totalsRowDxfId="2"/>
    <tableColumn id="19" xr3:uid="{A2556983-4E75-4962-A7F1-D90090A1D929}" name="Status" dataDxfId="43" totalsRowDxfId="1"/>
    <tableColumn id="20" xr3:uid="{A89BF45B-B096-4F52-9C58-0004D324E6E7}" name="ID2" dataDxfId="4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D377-92A9-41D2-B6C4-DD1CC3CCA7F9}">
  <dimension ref="A1:T20"/>
  <sheetViews>
    <sheetView showGridLines="0" tabSelected="1" workbookViewId="0">
      <selection activeCell="A30" sqref="A30"/>
    </sheetView>
  </sheetViews>
  <sheetFormatPr defaultRowHeight="14.5" x14ac:dyDescent="0.35"/>
  <cols>
    <col min="1" max="1" width="29.453125" bestFit="1" customWidth="1"/>
    <col min="2" max="2" width="13.08984375" bestFit="1" customWidth="1"/>
    <col min="3" max="3" width="10.08984375" customWidth="1"/>
    <col min="4" max="4" width="8" customWidth="1"/>
    <col min="5" max="5" width="14" customWidth="1"/>
    <col min="6" max="6" width="15.26953125" customWidth="1"/>
    <col min="7" max="7" width="12.1796875" customWidth="1"/>
    <col min="8" max="8" width="13.54296875" customWidth="1"/>
    <col min="9" max="9" width="15.90625" customWidth="1"/>
    <col min="10" max="10" width="10" customWidth="1"/>
    <col min="11" max="11" width="9.90625" customWidth="1"/>
    <col min="12" max="12" width="12" customWidth="1"/>
    <col min="13" max="13" width="16.08984375" customWidth="1"/>
    <col min="14" max="14" width="10.54296875" customWidth="1"/>
    <col min="15" max="15" width="11.90625" customWidth="1"/>
    <col min="16" max="16" width="6.7265625" customWidth="1"/>
    <col min="17" max="17" width="22.1796875" bestFit="1" customWidth="1"/>
    <col min="18" max="18" width="22.1796875" customWidth="1"/>
    <col min="19" max="19" width="21.1796875" customWidth="1"/>
    <col min="20" max="20" width="13.08984375" bestFit="1" customWidth="1"/>
    <col min="21" max="21" width="22.1796875" bestFit="1" customWidth="1"/>
    <col min="23" max="23" width="30.7265625" bestFit="1" customWidth="1"/>
    <col min="24" max="24" width="7.1796875" bestFit="1" customWidth="1"/>
    <col min="25" max="25" width="7.26953125" bestFit="1" customWidth="1"/>
    <col min="26" max="26" width="5.1796875" bestFit="1" customWidth="1"/>
    <col min="27" max="27" width="14.54296875" bestFit="1" customWidth="1"/>
    <col min="28" max="28" width="7" bestFit="1" customWidth="1"/>
    <col min="29" max="29" width="5.90625" bestFit="1" customWidth="1"/>
    <col min="30" max="30" width="6.90625" bestFit="1" customWidth="1"/>
  </cols>
  <sheetData>
    <row r="1" spans="1:20" x14ac:dyDescent="0.35">
      <c r="A1" s="20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1" t="s">
        <v>7</v>
      </c>
      <c r="I1" s="22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71</v>
      </c>
      <c r="Q1" s="23" t="s">
        <v>15</v>
      </c>
      <c r="R1" s="24" t="s">
        <v>72</v>
      </c>
      <c r="S1" s="24" t="s">
        <v>79</v>
      </c>
      <c r="T1" s="24" t="s">
        <v>85</v>
      </c>
    </row>
    <row r="2" spans="1:20" x14ac:dyDescent="0.35">
      <c r="A2" s="18" t="s">
        <v>74</v>
      </c>
      <c r="B2" s="4" t="s">
        <v>73</v>
      </c>
      <c r="C2" s="5"/>
      <c r="D2" s="6"/>
      <c r="E2" s="7"/>
      <c r="F2" s="7"/>
      <c r="G2" s="8"/>
      <c r="H2" s="9"/>
      <c r="I2" s="10"/>
      <c r="J2" s="25" t="s">
        <v>82</v>
      </c>
      <c r="K2" s="26"/>
      <c r="L2" s="27"/>
      <c r="M2" s="28"/>
      <c r="N2" s="29"/>
      <c r="O2" s="2"/>
      <c r="P2" s="38">
        <v>0</v>
      </c>
      <c r="Q2" s="31"/>
      <c r="R2" s="3">
        <v>3.6713686585426342E-2</v>
      </c>
      <c r="S2" s="39" t="s">
        <v>81</v>
      </c>
      <c r="T2" s="70">
        <v>16</v>
      </c>
    </row>
    <row r="3" spans="1:20" x14ac:dyDescent="0.35">
      <c r="A3" s="19" t="s">
        <v>19</v>
      </c>
      <c r="B3" s="11" t="s">
        <v>20</v>
      </c>
      <c r="C3" s="12">
        <v>25000</v>
      </c>
      <c r="D3" s="13" t="s">
        <v>18</v>
      </c>
      <c r="E3" s="14">
        <v>90.380700000000004</v>
      </c>
      <c r="F3" s="14">
        <v>98.86</v>
      </c>
      <c r="G3" s="15">
        <v>24785.73</v>
      </c>
      <c r="H3" s="16">
        <v>2119.8200000000002</v>
      </c>
      <c r="I3" s="17">
        <v>46038.342138912034</v>
      </c>
      <c r="J3" s="32" t="s">
        <v>52</v>
      </c>
      <c r="K3" s="33">
        <v>5.6819484073189402E-2</v>
      </c>
      <c r="L3" s="34">
        <v>98.86</v>
      </c>
      <c r="M3" s="35">
        <v>24715</v>
      </c>
      <c r="N3" s="36">
        <v>-70.729999999999563</v>
      </c>
      <c r="O3" s="1">
        <v>9.3817596013308094E-2</v>
      </c>
      <c r="P3" s="37" t="s">
        <v>50</v>
      </c>
      <c r="Q3" s="31" t="s">
        <v>53</v>
      </c>
      <c r="R3" s="31"/>
      <c r="S3" s="39" t="s">
        <v>80</v>
      </c>
      <c r="T3" s="70">
        <v>2</v>
      </c>
    </row>
    <row r="4" spans="1:20" x14ac:dyDescent="0.35">
      <c r="A4" s="18" t="s">
        <v>21</v>
      </c>
      <c r="B4" s="4" t="s">
        <v>22</v>
      </c>
      <c r="C4" s="5">
        <v>786.29</v>
      </c>
      <c r="D4" s="6" t="s">
        <v>18</v>
      </c>
      <c r="E4" s="7">
        <v>31.14</v>
      </c>
      <c r="F4" s="7">
        <v>33.61</v>
      </c>
      <c r="G4" s="8">
        <v>26427.21</v>
      </c>
      <c r="H4" s="9">
        <v>1942.14</v>
      </c>
      <c r="I4" s="10">
        <v>46038.342138912034</v>
      </c>
      <c r="J4" s="25" t="s">
        <v>54</v>
      </c>
      <c r="K4" s="26">
        <v>6.0582457635656957E-2</v>
      </c>
      <c r="L4" s="27">
        <v>33.61</v>
      </c>
      <c r="M4" s="28">
        <v>26427.206899999997</v>
      </c>
      <c r="N4" s="29">
        <v>0</v>
      </c>
      <c r="O4" s="2">
        <v>7.9319203596660212E-2</v>
      </c>
      <c r="P4" s="30" t="s">
        <v>50</v>
      </c>
      <c r="Q4" s="31" t="s">
        <v>55</v>
      </c>
      <c r="R4" s="31"/>
      <c r="S4" s="39" t="s">
        <v>80</v>
      </c>
      <c r="T4" s="70">
        <v>3</v>
      </c>
    </row>
    <row r="5" spans="1:20" x14ac:dyDescent="0.35">
      <c r="A5" s="18" t="s">
        <v>25</v>
      </c>
      <c r="B5" s="4" t="s">
        <v>26</v>
      </c>
      <c r="C5" s="5">
        <v>808.88599999999997</v>
      </c>
      <c r="D5" s="6" t="s">
        <v>18</v>
      </c>
      <c r="E5" s="7">
        <v>79.260800000000003</v>
      </c>
      <c r="F5" s="7">
        <v>149.13</v>
      </c>
      <c r="G5" s="8">
        <v>120629.27</v>
      </c>
      <c r="H5" s="9">
        <v>56516.29</v>
      </c>
      <c r="I5" s="10">
        <v>46038.342138912034</v>
      </c>
      <c r="J5" s="25" t="s">
        <v>58</v>
      </c>
      <c r="K5" s="26">
        <v>0.2765338315847653</v>
      </c>
      <c r="L5" s="27">
        <v>149.13</v>
      </c>
      <c r="M5" s="28">
        <v>120629.16918</v>
      </c>
      <c r="N5" s="29">
        <v>0</v>
      </c>
      <c r="O5" s="2">
        <v>0.88151015382130871</v>
      </c>
      <c r="P5" s="30" t="s">
        <v>50</v>
      </c>
      <c r="Q5" s="31" t="s">
        <v>59</v>
      </c>
      <c r="R5" s="31"/>
      <c r="S5" s="39" t="s">
        <v>80</v>
      </c>
      <c r="T5" s="70">
        <v>5</v>
      </c>
    </row>
    <row r="6" spans="1:20" x14ac:dyDescent="0.35">
      <c r="A6" s="19" t="s">
        <v>27</v>
      </c>
      <c r="B6" s="11" t="s">
        <v>28</v>
      </c>
      <c r="C6" s="12">
        <v>255.42699999999999</v>
      </c>
      <c r="D6" s="13" t="s">
        <v>18</v>
      </c>
      <c r="E6" s="14">
        <v>188.8296</v>
      </c>
      <c r="F6" s="14">
        <v>367.43</v>
      </c>
      <c r="G6" s="15">
        <v>93851.69</v>
      </c>
      <c r="H6" s="16">
        <v>45619.44</v>
      </c>
      <c r="I6" s="17">
        <v>46038.342138912034</v>
      </c>
      <c r="J6" s="32" t="s">
        <v>60</v>
      </c>
      <c r="K6" s="33">
        <v>0.21514817619642065</v>
      </c>
      <c r="L6" s="34">
        <v>367.43</v>
      </c>
      <c r="M6" s="35">
        <v>93851.542610000004</v>
      </c>
      <c r="N6" s="36">
        <v>0</v>
      </c>
      <c r="O6" s="1">
        <v>0.94582840825802739</v>
      </c>
      <c r="P6" s="37" t="s">
        <v>50</v>
      </c>
      <c r="Q6" s="31" t="s">
        <v>61</v>
      </c>
      <c r="R6" s="31"/>
      <c r="S6" s="39" t="s">
        <v>80</v>
      </c>
      <c r="T6" s="70">
        <v>6</v>
      </c>
    </row>
    <row r="7" spans="1:20" x14ac:dyDescent="0.35">
      <c r="A7" s="19" t="s">
        <v>23</v>
      </c>
      <c r="B7" s="11" t="s">
        <v>24</v>
      </c>
      <c r="C7" s="12">
        <v>570</v>
      </c>
      <c r="D7" s="13" t="s">
        <v>18</v>
      </c>
      <c r="E7" s="14">
        <v>8.8187999999999995</v>
      </c>
      <c r="F7" s="14">
        <v>9.1750000000000007</v>
      </c>
      <c r="G7" s="15">
        <v>5229.75</v>
      </c>
      <c r="H7" s="16">
        <v>203.06</v>
      </c>
      <c r="I7" s="17">
        <v>46038.342138912034</v>
      </c>
      <c r="J7" s="32" t="s">
        <v>56</v>
      </c>
      <c r="K7" s="33">
        <v>1.1988821666005492E-2</v>
      </c>
      <c r="L7" s="34">
        <v>9.1750000000000007</v>
      </c>
      <c r="M7" s="35">
        <v>5229.75</v>
      </c>
      <c r="N7" s="36">
        <v>0</v>
      </c>
      <c r="O7" s="1">
        <v>4.039098290016796E-2</v>
      </c>
      <c r="P7" s="37" t="s">
        <v>50</v>
      </c>
      <c r="Q7" s="31" t="s">
        <v>57</v>
      </c>
      <c r="R7" s="31"/>
      <c r="S7" s="39" t="s">
        <v>80</v>
      </c>
      <c r="T7" s="70">
        <v>4</v>
      </c>
    </row>
    <row r="8" spans="1:20" x14ac:dyDescent="0.35">
      <c r="A8" s="18" t="s">
        <v>29</v>
      </c>
      <c r="B8" s="4" t="s">
        <v>30</v>
      </c>
      <c r="C8" s="5">
        <v>47</v>
      </c>
      <c r="D8" s="6" t="s">
        <v>18</v>
      </c>
      <c r="E8" s="7">
        <v>108.09699999999999</v>
      </c>
      <c r="F8" s="7">
        <v>114.95</v>
      </c>
      <c r="G8" s="8">
        <v>5402.65</v>
      </c>
      <c r="H8" s="9">
        <v>322.08999999999997</v>
      </c>
      <c r="I8" s="10">
        <v>46038.342138912034</v>
      </c>
      <c r="J8" s="25" t="s">
        <v>62</v>
      </c>
      <c r="K8" s="26">
        <v>1.2385182345971522E-2</v>
      </c>
      <c r="L8" s="27">
        <v>114.95</v>
      </c>
      <c r="M8" s="28">
        <v>5402.6500000000005</v>
      </c>
      <c r="N8" s="29">
        <v>0</v>
      </c>
      <c r="O8" s="2">
        <v>6.3396764017502882E-2</v>
      </c>
      <c r="P8" s="30" t="s">
        <v>50</v>
      </c>
      <c r="Q8" s="31" t="s">
        <v>57</v>
      </c>
      <c r="R8" s="31"/>
      <c r="S8" s="39" t="s">
        <v>80</v>
      </c>
      <c r="T8" s="70">
        <v>7</v>
      </c>
    </row>
    <row r="9" spans="1:20" x14ac:dyDescent="0.35">
      <c r="A9" s="19" t="s">
        <v>31</v>
      </c>
      <c r="B9" s="11" t="s">
        <v>32</v>
      </c>
      <c r="C9" s="12">
        <v>945.54899999999998</v>
      </c>
      <c r="D9" s="13" t="s">
        <v>18</v>
      </c>
      <c r="E9" s="14">
        <v>16.910799999999998</v>
      </c>
      <c r="F9" s="14">
        <v>21.1097</v>
      </c>
      <c r="G9" s="15">
        <v>19960.259999999998</v>
      </c>
      <c r="H9" s="16">
        <v>3970.26</v>
      </c>
      <c r="I9" s="17">
        <v>46038.342138912034</v>
      </c>
      <c r="J9" s="32" t="s">
        <v>63</v>
      </c>
      <c r="K9" s="33">
        <v>4.5757444915550984E-2</v>
      </c>
      <c r="L9" s="34">
        <v>21.1097</v>
      </c>
      <c r="M9" s="35">
        <v>19960.255725300001</v>
      </c>
      <c r="N9" s="36">
        <v>0</v>
      </c>
      <c r="O9" s="1">
        <v>0.248296946330156</v>
      </c>
      <c r="P9" s="37" t="s">
        <v>50</v>
      </c>
      <c r="Q9" s="31" t="s">
        <v>55</v>
      </c>
      <c r="R9" s="31"/>
      <c r="S9" s="39" t="s">
        <v>80</v>
      </c>
      <c r="T9" s="70">
        <v>8</v>
      </c>
    </row>
    <row r="10" spans="1:20" x14ac:dyDescent="0.35">
      <c r="A10" s="18" t="s">
        <v>33</v>
      </c>
      <c r="B10" s="4" t="s">
        <v>34</v>
      </c>
      <c r="C10" s="5">
        <v>3198</v>
      </c>
      <c r="D10" s="6" t="s">
        <v>18</v>
      </c>
      <c r="E10" s="7">
        <v>5</v>
      </c>
      <c r="F10" s="7">
        <v>5.0860000000000003</v>
      </c>
      <c r="G10" s="8">
        <v>16265.03</v>
      </c>
      <c r="H10" s="9">
        <v>275.02999999999997</v>
      </c>
      <c r="I10" s="10">
        <v>46038.342138912034</v>
      </c>
      <c r="J10" s="25" t="s">
        <v>64</v>
      </c>
      <c r="K10" s="26">
        <v>3.7286398788131232E-2</v>
      </c>
      <c r="L10" s="27">
        <v>5.0860000000000003</v>
      </c>
      <c r="M10" s="28">
        <v>16265.028</v>
      </c>
      <c r="N10" s="29">
        <v>0</v>
      </c>
      <c r="O10" s="2">
        <v>1.7200000000000059E-2</v>
      </c>
      <c r="P10" s="30" t="s">
        <v>50</v>
      </c>
      <c r="Q10" s="31" t="s">
        <v>55</v>
      </c>
      <c r="R10" s="31"/>
      <c r="S10" s="39" t="s">
        <v>80</v>
      </c>
      <c r="T10" s="70">
        <v>9</v>
      </c>
    </row>
    <row r="11" spans="1:20" x14ac:dyDescent="0.35">
      <c r="A11" s="19" t="s">
        <v>35</v>
      </c>
      <c r="B11" s="11" t="s">
        <v>36</v>
      </c>
      <c r="C11" s="12">
        <v>104.37</v>
      </c>
      <c r="D11" s="13" t="s">
        <v>37</v>
      </c>
      <c r="E11" s="14">
        <v>183.25</v>
      </c>
      <c r="F11" s="14">
        <v>221.45</v>
      </c>
      <c r="G11" s="15">
        <v>19883.63</v>
      </c>
      <c r="H11" s="16">
        <v>757.83</v>
      </c>
      <c r="I11" s="17">
        <v>46038.342138912034</v>
      </c>
      <c r="J11" s="32" t="s">
        <v>65</v>
      </c>
      <c r="K11" s="33">
        <v>4.5581776211642389E-2</v>
      </c>
      <c r="L11" s="34">
        <v>190.88989999999998</v>
      </c>
      <c r="M11" s="35">
        <v>19923.178862999997</v>
      </c>
      <c r="N11" s="36">
        <v>39.548862999996345</v>
      </c>
      <c r="O11" s="1">
        <v>4.1691132332878487E-2</v>
      </c>
      <c r="P11" s="37" t="s">
        <v>50</v>
      </c>
      <c r="Q11" s="31" t="s">
        <v>55</v>
      </c>
      <c r="R11" s="31"/>
      <c r="S11" s="39" t="s">
        <v>80</v>
      </c>
      <c r="T11" s="70">
        <v>10</v>
      </c>
    </row>
    <row r="12" spans="1:20" x14ac:dyDescent="0.35">
      <c r="A12" s="18" t="s">
        <v>38</v>
      </c>
      <c r="B12" s="4" t="s">
        <v>39</v>
      </c>
      <c r="C12" s="5">
        <v>207.953</v>
      </c>
      <c r="D12" s="6" t="s">
        <v>37</v>
      </c>
      <c r="E12" s="7">
        <v>86.142099999999999</v>
      </c>
      <c r="F12" s="7">
        <v>159.13999999999999</v>
      </c>
      <c r="G12" s="8">
        <v>28470.1</v>
      </c>
      <c r="H12" s="9">
        <v>10556.58</v>
      </c>
      <c r="I12" s="10">
        <v>46038.342138912034</v>
      </c>
      <c r="J12" s="25" t="s">
        <v>66</v>
      </c>
      <c r="K12" s="26">
        <v>6.5265634440143966E-2</v>
      </c>
      <c r="L12" s="27">
        <v>137.17867999999999</v>
      </c>
      <c r="M12" s="28">
        <v>28526.718042039996</v>
      </c>
      <c r="N12" s="29">
        <v>56.618042039997817</v>
      </c>
      <c r="O12" s="2">
        <v>0.5924696518891458</v>
      </c>
      <c r="P12" s="30" t="s">
        <v>50</v>
      </c>
      <c r="Q12" s="31" t="s">
        <v>55</v>
      </c>
      <c r="R12" s="31"/>
      <c r="S12" s="39" t="s">
        <v>80</v>
      </c>
      <c r="T12" s="70">
        <v>11</v>
      </c>
    </row>
    <row r="13" spans="1:20" x14ac:dyDescent="0.35">
      <c r="A13" s="19" t="s">
        <v>40</v>
      </c>
      <c r="B13" s="11" t="s">
        <v>41</v>
      </c>
      <c r="C13" s="12">
        <v>448.18400000000003</v>
      </c>
      <c r="D13" s="13" t="s">
        <v>18</v>
      </c>
      <c r="E13" s="14">
        <v>24.51</v>
      </c>
      <c r="F13" s="14">
        <v>35.458399999999997</v>
      </c>
      <c r="G13" s="15">
        <v>15891.89</v>
      </c>
      <c r="H13" s="16">
        <v>4906.8999999999996</v>
      </c>
      <c r="I13" s="17">
        <v>46038.342138912034</v>
      </c>
      <c r="J13" s="32" t="s">
        <v>67</v>
      </c>
      <c r="K13" s="33">
        <v>3.6431002465849419E-2</v>
      </c>
      <c r="L13" s="34">
        <v>35.458399999999997</v>
      </c>
      <c r="M13" s="35">
        <v>15891.887545600001</v>
      </c>
      <c r="N13" s="36">
        <v>0</v>
      </c>
      <c r="O13" s="1">
        <v>0.44669114647082803</v>
      </c>
      <c r="P13" s="37" t="s">
        <v>50</v>
      </c>
      <c r="Q13" s="31" t="s">
        <v>55</v>
      </c>
      <c r="R13" s="31"/>
      <c r="S13" s="39" t="s">
        <v>80</v>
      </c>
      <c r="T13" s="70">
        <v>12</v>
      </c>
    </row>
    <row r="14" spans="1:20" x14ac:dyDescent="0.35">
      <c r="A14" s="18" t="s">
        <v>42</v>
      </c>
      <c r="B14" s="4" t="s">
        <v>43</v>
      </c>
      <c r="C14" s="5">
        <v>117.944</v>
      </c>
      <c r="D14" s="6" t="s">
        <v>18</v>
      </c>
      <c r="E14" s="7">
        <v>188.49709999999999</v>
      </c>
      <c r="F14" s="7">
        <v>210.40729999999999</v>
      </c>
      <c r="G14" s="8">
        <v>24816.28</v>
      </c>
      <c r="H14" s="9">
        <v>2584.1799999999998</v>
      </c>
      <c r="I14" s="10">
        <v>46038.342138912034</v>
      </c>
      <c r="J14" s="25" t="s">
        <v>68</v>
      </c>
      <c r="K14" s="26">
        <v>5.6889517727168361E-2</v>
      </c>
      <c r="L14" s="27">
        <v>210.40729999999999</v>
      </c>
      <c r="M14" s="28">
        <v>24816.2785912</v>
      </c>
      <c r="N14" s="29">
        <v>0</v>
      </c>
      <c r="O14" s="2">
        <v>0.11623627100894393</v>
      </c>
      <c r="P14" s="30" t="s">
        <v>50</v>
      </c>
      <c r="Q14" s="31" t="s">
        <v>59</v>
      </c>
      <c r="R14" s="31"/>
      <c r="S14" s="39" t="s">
        <v>80</v>
      </c>
      <c r="T14" s="70">
        <v>13</v>
      </c>
    </row>
    <row r="15" spans="1:20" x14ac:dyDescent="0.35">
      <c r="A15" s="18" t="s">
        <v>78</v>
      </c>
      <c r="B15" s="4" t="s">
        <v>77</v>
      </c>
      <c r="C15" s="5"/>
      <c r="D15" s="6"/>
      <c r="E15" s="7"/>
      <c r="F15" s="7"/>
      <c r="G15" s="8"/>
      <c r="H15" s="9"/>
      <c r="I15" s="10"/>
      <c r="J15" s="25" t="s">
        <v>84</v>
      </c>
      <c r="K15" s="26"/>
      <c r="L15" s="27"/>
      <c r="M15" s="28"/>
      <c r="N15" s="29"/>
      <c r="O15" s="2"/>
      <c r="P15" s="38">
        <v>2.3099999999999999E-2</v>
      </c>
      <c r="Q15" s="31"/>
      <c r="R15" s="3">
        <v>1.4173835515975952E-3</v>
      </c>
      <c r="S15" s="39" t="s">
        <v>81</v>
      </c>
      <c r="T15" s="70">
        <v>18</v>
      </c>
    </row>
    <row r="16" spans="1:20" x14ac:dyDescent="0.35">
      <c r="A16" s="19" t="s">
        <v>44</v>
      </c>
      <c r="B16" s="11" t="s">
        <v>45</v>
      </c>
      <c r="C16" s="12">
        <v>586.02</v>
      </c>
      <c r="D16" s="13" t="s">
        <v>18</v>
      </c>
      <c r="E16" s="14">
        <v>17.7333</v>
      </c>
      <c r="F16" s="14">
        <v>26.9937</v>
      </c>
      <c r="G16" s="15">
        <v>15818.85</v>
      </c>
      <c r="H16" s="16">
        <v>5426.78</v>
      </c>
      <c r="I16" s="17">
        <v>46038.342138912034</v>
      </c>
      <c r="J16" s="32" t="s">
        <v>69</v>
      </c>
      <c r="K16" s="33">
        <v>3.626356357594359E-2</v>
      </c>
      <c r="L16" s="34">
        <v>26.9937</v>
      </c>
      <c r="M16" s="35">
        <v>15818.848074</v>
      </c>
      <c r="N16" s="36">
        <v>0</v>
      </c>
      <c r="O16" s="1">
        <v>0.52220398910524268</v>
      </c>
      <c r="P16" s="37" t="s">
        <v>50</v>
      </c>
      <c r="Q16" s="31" t="s">
        <v>55</v>
      </c>
      <c r="R16" s="31"/>
      <c r="S16" s="39" t="s">
        <v>80</v>
      </c>
      <c r="T16" s="70">
        <v>14</v>
      </c>
    </row>
    <row r="17" spans="1:20" x14ac:dyDescent="0.35">
      <c r="A17" s="18" t="s">
        <v>46</v>
      </c>
      <c r="B17" s="4" t="s">
        <v>47</v>
      </c>
      <c r="C17" s="5">
        <v>86</v>
      </c>
      <c r="D17" s="6" t="s">
        <v>18</v>
      </c>
      <c r="E17" s="7">
        <v>93.194999999999993</v>
      </c>
      <c r="F17" s="7">
        <v>101.96</v>
      </c>
      <c r="G17" s="8">
        <v>8768.56</v>
      </c>
      <c r="H17" s="9">
        <v>753.79</v>
      </c>
      <c r="I17" s="10">
        <v>46038.342138912034</v>
      </c>
      <c r="J17" s="25" t="s">
        <v>70</v>
      </c>
      <c r="K17" s="26">
        <v>2.0101286315343775E-2</v>
      </c>
      <c r="L17" s="27">
        <v>101.96</v>
      </c>
      <c r="M17" s="28">
        <v>8768.56</v>
      </c>
      <c r="N17" s="29">
        <v>0</v>
      </c>
      <c r="O17" s="2">
        <v>9.4050109984441244E-2</v>
      </c>
      <c r="P17" s="30" t="s">
        <v>50</v>
      </c>
      <c r="Q17" s="31" t="s">
        <v>57</v>
      </c>
      <c r="R17" s="31"/>
      <c r="S17" s="39" t="s">
        <v>80</v>
      </c>
      <c r="T17" s="70">
        <v>15</v>
      </c>
    </row>
    <row r="18" spans="1:20" x14ac:dyDescent="0.35">
      <c r="A18" s="18" t="s">
        <v>16</v>
      </c>
      <c r="B18" s="4" t="s">
        <v>17</v>
      </c>
      <c r="C18" s="5">
        <v>99.85</v>
      </c>
      <c r="D18" s="6" t="s">
        <v>18</v>
      </c>
      <c r="E18" s="7">
        <v>100</v>
      </c>
      <c r="F18" s="7">
        <v>100.33</v>
      </c>
      <c r="G18" s="8">
        <v>10017.950000000001</v>
      </c>
      <c r="H18" s="9">
        <v>32.950000000000003</v>
      </c>
      <c r="I18" s="10">
        <v>46038.342138912034</v>
      </c>
      <c r="J18" s="25" t="s">
        <v>49</v>
      </c>
      <c r="K18" s="26">
        <f>TabPortafoglioImport[[#This Row],[CTV in Euro]]/TabPortafoglioImport[[#Totals],[CTV in Euro]]</f>
        <v>2.2965422058216875E-2</v>
      </c>
      <c r="L18" s="27">
        <v>100.33</v>
      </c>
      <c r="M18" s="28">
        <v>10017.950499999999</v>
      </c>
      <c r="N18" s="29">
        <v>0</v>
      </c>
      <c r="O18" s="2">
        <v>3.2999999999999831E-3</v>
      </c>
      <c r="P18" s="30" t="s">
        <v>50</v>
      </c>
      <c r="Q18" s="31" t="s">
        <v>51</v>
      </c>
      <c r="R18" s="31"/>
      <c r="S18" s="39" t="s">
        <v>80</v>
      </c>
      <c r="T18" s="70">
        <v>1</v>
      </c>
    </row>
    <row r="19" spans="1:20" ht="15" thickBot="1" x14ac:dyDescent="0.4">
      <c r="A19" s="52" t="s">
        <v>76</v>
      </c>
      <c r="B19" s="53" t="s">
        <v>75</v>
      </c>
      <c r="C19" s="54"/>
      <c r="D19" s="55"/>
      <c r="E19" s="56"/>
      <c r="F19" s="56"/>
      <c r="G19" s="57"/>
      <c r="H19" s="58"/>
      <c r="I19" s="59"/>
      <c r="J19" s="60" t="s">
        <v>83</v>
      </c>
      <c r="K19" s="61"/>
      <c r="L19" s="62"/>
      <c r="M19" s="63"/>
      <c r="N19" s="64"/>
      <c r="O19" s="65"/>
      <c r="P19" s="66">
        <v>0</v>
      </c>
      <c r="Q19" s="67"/>
      <c r="R19" s="68">
        <v>3.3603122830390936E-2</v>
      </c>
      <c r="S19" s="69" t="s">
        <v>81</v>
      </c>
      <c r="T19" s="71">
        <v>17</v>
      </c>
    </row>
    <row r="20" spans="1:20" ht="15" thickTop="1" x14ac:dyDescent="0.35">
      <c r="A20" s="40" t="s">
        <v>48</v>
      </c>
      <c r="B20" s="41"/>
      <c r="C20" s="42"/>
      <c r="D20" s="43"/>
      <c r="E20" s="41"/>
      <c r="F20" s="41"/>
      <c r="G20" s="44">
        <f>SUMIFS(TabPortafoglioImport[CTV in Euro],TabPortafoglioImport[Status],"Open")</f>
        <v>436218.85000000009</v>
      </c>
      <c r="H20" s="44">
        <f>SUBTOTAL(109,TabPortafoglioImport[Utile/Perdita])</f>
        <v>135987.14000000001</v>
      </c>
      <c r="I20" s="41"/>
      <c r="J20" s="45"/>
      <c r="K20" s="45"/>
      <c r="L20" s="45"/>
      <c r="M20" s="46"/>
      <c r="N20" s="45"/>
      <c r="O20" s="47"/>
      <c r="P20" s="48"/>
      <c r="Q20" s="49"/>
      <c r="R20" s="50">
        <f>SUBTOTAL(109,TabPortafoglioImport[TIR])</f>
        <v>7.1734192967414873E-2</v>
      </c>
      <c r="S20" s="51"/>
      <c r="T20" s="51"/>
    </row>
  </sheetData>
  <conditionalFormatting sqref="A2:A19 J2:J19">
    <cfRule type="expression" dxfId="41" priority="43" stopIfTrue="1">
      <formula>IF(AND(ISNUMBER(SEARCH("H2O", A2)), ISNUMBER(SEARCH("SP", A2))), 1,0)</formula>
    </cfRule>
    <cfRule type="containsText" dxfId="40" priority="44" stopIfTrue="1" operator="containsText" text="BTP">
      <formula>NOT(ISERROR(SEARCH("BTP",A2)))</formula>
    </cfRule>
  </conditionalFormatting>
  <conditionalFormatting sqref="D2:D19">
    <cfRule type="notContainsText" dxfId="38" priority="41" operator="notContains" text="EUR">
      <formula>ISERROR(SEARCH("EUR",D2))</formula>
    </cfRule>
  </conditionalFormatting>
  <conditionalFormatting sqref="G2:G19">
    <cfRule type="cellIs" dxfId="37" priority="45" operator="equal">
      <formula>0</formula>
    </cfRule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{5C463A3A-86DC-4372-8F0F-DD092B27E513}</x14:id>
        </ext>
      </extLst>
    </cfRule>
  </conditionalFormatting>
  <conditionalFormatting sqref="K2:K19">
    <cfRule type="dataBar" priority="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{731F0C98-9F8A-4B97-AC03-AFAFC7D80431}</x14:id>
        </ext>
      </extLst>
    </cfRule>
  </conditionalFormatting>
  <conditionalFormatting sqref="M2:M19">
    <cfRule type="expression" dxfId="36" priority="42">
      <formula>IF(ABS(M2-G2)&gt;1,1,0)</formula>
    </cfRule>
  </conditionalFormatting>
  <conditionalFormatting sqref="P2:P16">
    <cfRule type="containsText" dxfId="35" priority="39" operator="containsText" text="NEW">
      <formula>NOT(ISERROR(SEARCH("NEW",P2)))</formula>
    </cfRule>
  </conditionalFormatting>
  <conditionalFormatting sqref="P17:P19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{BA7AC9F6-0DC3-4A21-8C64-172411D0A29F}</x14:id>
        </ext>
      </extLst>
    </cfRule>
  </conditionalFormatting>
  <conditionalFormatting sqref="Q2:R16 Q17:Q19">
    <cfRule type="containsText" dxfId="34" priority="33" operator="containsText" text="Obblig.">
      <formula>NOT(ISERROR(SEARCH("Obblig.",Q2)))</formula>
    </cfRule>
    <cfRule type="containsText" dxfId="33" priority="34" operator="containsText" text="ETF">
      <formula>NOT(ISERROR(SEARCH("ETF",Q2)))</formula>
    </cfRule>
    <cfRule type="containsText" dxfId="32" priority="35" operator="containsText" text="Azionario">
      <formula>NOT(ISERROR(SEARCH("Azionario",Q2)))</formula>
    </cfRule>
    <cfRule type="containsText" dxfId="31" priority="36" operator="containsText" text="Liquidità">
      <formula>NOT(ISERROR(SEARCH("Liquidità",Q2)))</formula>
    </cfRule>
    <cfRule type="containsText" dxfId="30" priority="37" operator="containsText" text="Bilanciato">
      <formula>NOT(ISERROR(SEARCH("Bilanciato",Q2)))</formula>
    </cfRule>
    <cfRule type="containsText" dxfId="29" priority="38" operator="containsText" text="Certif">
      <formula>NOT(ISERROR(SEARCH("Certif",Q2)))</formula>
    </cfRule>
  </conditionalFormatting>
  <conditionalFormatting sqref="R17:R1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{6797BF16-82FB-4B5C-A7F4-5A3CFA1976FE}</x14:id>
        </ext>
      </extLst>
    </cfRule>
  </conditionalFormatting>
  <conditionalFormatting sqref="S2:S19">
    <cfRule type="cellIs" dxfId="28" priority="7" operator="equal">
      <formula>"CLOSED"</formula>
    </cfRule>
    <cfRule type="cellIs" dxfId="27" priority="8" operator="equal">
      <formula>"OPEN"</formula>
    </cfRule>
  </conditionalFormatting>
  <conditionalFormatting sqref="T2:T19">
    <cfRule type="containsText" dxfId="26" priority="1" operator="containsText" text="Obblig.">
      <formula>NOT(ISERROR(SEARCH("Obblig.",T2)))</formula>
    </cfRule>
    <cfRule type="containsText" dxfId="25" priority="2" operator="containsText" text="ETF">
      <formula>NOT(ISERROR(SEARCH("ETF",T2)))</formula>
    </cfRule>
    <cfRule type="containsText" dxfId="24" priority="3" operator="containsText" text="Azionario">
      <formula>NOT(ISERROR(SEARCH("Azionario",T2)))</formula>
    </cfRule>
    <cfRule type="containsText" dxfId="23" priority="4" operator="containsText" text="Liquidità">
      <formula>NOT(ISERROR(SEARCH("Liquidità",T2)))</formula>
    </cfRule>
    <cfRule type="containsText" dxfId="22" priority="5" operator="containsText" text="Bilanciato">
      <formula>NOT(ISERROR(SEARCH("Bilanciato",T2)))</formula>
    </cfRule>
    <cfRule type="containsText" dxfId="21" priority="6" operator="containsText" text="Certif">
      <formula>NOT(ISERROR(SEARCH("Certif",T2)))</formula>
    </cfRule>
  </conditionalFormatting>
  <dataValidations count="1">
    <dataValidation type="list" allowBlank="1" showInputMessage="1" showErrorMessage="1" sqref="S2:S19" xr:uid="{3B374C15-5069-4D0C-9740-110E81F4E88C}">
      <formula1>"Open,Closed"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stopIfTrue="1" operator="containsText" id="{A7B34D9E-27D0-44CD-A389-A4D29D817CA2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  <x14:conditionalFormatting xmlns:xm="http://schemas.microsoft.com/office/excel/2006/main">
          <x14:cfRule type="dataBar" id="{5C463A3A-86DC-4372-8F0F-DD092B27E5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G2:G19</xm:sqref>
        </x14:conditionalFormatting>
        <x14:conditionalFormatting xmlns:xm="http://schemas.microsoft.com/office/excel/2006/main">
          <x14:cfRule type="dataBar" id="{731F0C98-9F8A-4B97-AC03-AFAFC7D804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K2:K19</xm:sqref>
        </x14:conditionalFormatting>
        <x14:conditionalFormatting xmlns:xm="http://schemas.microsoft.com/office/excel/2006/main">
          <x14:cfRule type="dataBar" id="{BA7AC9F6-0DC3-4A21-8C64-172411D0A2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P17:P19</xm:sqref>
        </x14:conditionalFormatting>
        <x14:conditionalFormatting xmlns:xm="http://schemas.microsoft.com/office/excel/2006/main">
          <x14:cfRule type="dataBar" id="{6797BF16-82FB-4B5C-A7F4-5A3CFA1976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R17:R19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E62195-D065-4701-9420-0440C8733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ControvalorePortafoglio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2026-01-25T07:50:22Z</dcterms:created>
  <dcterms:modified xsi:type="dcterms:W3CDTF">2026-01-26T21:37:23Z</dcterms:modified>
</cp:coreProperties>
</file>