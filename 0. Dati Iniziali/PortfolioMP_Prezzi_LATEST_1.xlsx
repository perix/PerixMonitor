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93988178-B5B7-48EE-BF61-84648DBC5223}" xr6:coauthVersionLast="47" xr6:coauthVersionMax="47" xr10:uidLastSave="{00000000-0000-0000-0000-000000000000}"/>
  <bookViews>
    <workbookView xWindow="57480" yWindow="-120" windowWidth="29040" windowHeight="1824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4" i="1"/>
  <c r="K3" i="1"/>
  <c r="K2" i="1"/>
  <c r="N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<sst xmlns="http://schemas.openxmlformats.org/spreadsheetml/2006/main" count="19" uniqueCount="17">
  <si>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</si>
  <si>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</si>
  <si>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</si>
  <si>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</si>
  <si>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</si>
  <si>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</si>
  <si>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</si>
  <si>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</si>
  <si>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</si>
  <si>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</si>
  <si>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LU0345361124</t>
  </si>
  <si>
    <t>FID ASIA AGGR AC EUR</t>
  </si>
  <si>
    <t>H2O MULTIBONDS R EUR</t>
  </si>
  <si>
    <t>GLB X SILV USD-A EUR</t>
  </si>
  <si>
    <t>FR0013393329</t>
  </si>
  <si>
    <t>IE000UL6CLP7</t>
  </si>
  <si>
    <t>Controvalore Totale: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</si>
</sst>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.00\ &quot;€&quot;"/>
    <numFmt numFmtId="165" formatCode="#,##0.00;;\-"/>
    <numFmt numFmtId="166" formatCode="0.0000"/>
    <numFmt numFmtId="167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0" fontId="5" fillId="0" borderId="0" xfId="0" applyFont="1"/>
    <xf numFmtId="8" fontId="4" fillId="4" borderId="5" xfId="0" applyNumberFormat="1" applyFont="1" applyFill="1" applyBorder="1"/>
    <xf numFmtId="0" fontId="4" fillId="0" borderId="1" xfId="0" applyFont="1" applyBorder="1"/>
    <xf numFmtId="0" fontId="4" fillId="0" borderId="3" xfId="0" applyFont="1" applyBorder="1"/>
    <xf numFmtId="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/>
    <xf numFmtId="167" fontId="0" fillId="0" borderId="1" xfId="0" applyNumberFormat="1" applyBorder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25"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7" formatCode="#,##0.0000\ &quot;€&quot;;[Red]\-#,##0.0000\ &quot;€&quot;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\ &quot;€&quot;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6" formatCode="0.0000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5" formatCode="#,##0.00;;\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4" formatCode="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I4" totalsRowShown="0" headerRowDxfId="24" dataDxfId="23" tableBorderDxfId="22">
  <autoFilter ref="A1:I4" xr:uid="{A644CB40-5D0E-4EC7-B73F-375AD248FD75}"/>
  <tableColumns count="9">
    <tableColumn id="1" xr3:uid="{13244BAA-6E4E-45A8-BE73-4D4764516016}" name="Descrizione Titolo" dataDxfId="21" totalsRowDxfId="20"/>
    <tableColumn id="2" xr3:uid="{F51F4DA1-A077-4914-80B4-AD8AFEA9ADAD}" name="ISIN" dataDxfId="19" totalsRowDxfId="18"/>
    <tableColumn id="3" xr3:uid="{C2133E33-0C58-4FAA-8AA3-38DFFFDB3BB4}" name="Quantità" dataDxfId="17" totalsRowDxfId="16"/>
    <tableColumn id="4" xr3:uid="{D1F0CC62-5D59-4DA0-8EAB-4BB138EF8A47}" name="Divisa" dataDxfId="15" totalsRowDxfId="14"/>
    <tableColumn id="5" xr3:uid="{C9B3D54A-E0B9-4828-98B2-9CC4D10E4F29}" name="Prezzo Carico (EUR)" dataDxfId="13" totalsRowDxfId="12"/>
    <tableColumn id="6" xr3:uid="{D840105F-A0FF-48B3-B6D2-7C8E4E15D7F8}" name="Data (acquisto/vendita)" dataDxfId="11" totalsRowDxfId="10"/>
    <tableColumn id="7" xr3:uid="{55060C3D-5427-4473-A5E5-D5782153505A}" name="Operazione" dataDxfId="9" totalsRowDxfId="8"/>
    <tableColumn id="8" xr3:uid="{8247D659-8814-4F8E-BCA4-CB69E15D5754}" name="Prezzo Operazione (EUR)" dataDxfId="7" totalsRowDxfId="6"/>
    <tableColumn id="9" xr3:uid="{CB075AA3-AE95-48F4-96AF-9F28838DD478}" name="Prezzo Corrente (EUR)" dataDxfId="5" totalsRow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N5"/>
  <sheetViews>
    <sheetView showGridLines="0" tabSelected="1" zoomScale="70" zoomScaleNormal="70" workbookViewId="0">
      <pane ySplit="1" topLeftCell="A2" activePane="bottomLeft" state="frozenSplit"/>
      <selection pane="bottomLeft" activeCell="A4" sqref="A4:I4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4" bestFit="1" customWidth="1"/>
    <col min="7" max="7" width="16.54296875" customWidth="1"/>
    <col min="8" max="8" width="22.26953125" customWidth="1"/>
    <col min="9" max="9" width="21.90625" customWidth="1"/>
    <col min="11" max="11" width="12" bestFit="1" customWidth="1"/>
    <col min="13" max="13" width="17.90625" bestFit="1" customWidth="1"/>
    <col min="14" max="14" width="19.1796875" customWidth="1"/>
    <col min="17" max="17" width="13.08984375" bestFit="1" customWidth="1"/>
  </cols>
  <sheetData>
    <row r="1" spans="1:14" ht="15" thickBot="1" x14ac:dyDescent="0.4">
      <c r="A1" s="5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6" t="s">
        <v>8</v>
      </c>
      <c r="M1" s="10" t="s">
        <v>16</v>
      </c>
      <c r="N1" s="11">
        <f>SUMPRODUCT(Table1[Quantità],Table1[Prezzo Corrente (EUR)])</f>
        <v>160356.93745999999</v>
      </c>
    </row>
    <row r="2" spans="1:14" x14ac:dyDescent="0.35">
      <c r="A2" s="12" t="s">
        <v>11</v>
      </c>
      <c r="B2" s="13" t="s">
        <v>10</v>
      </c>
      <c r="C2" s="14">
        <v>786.29</v>
      </c>
      <c r="D2" s="15" t="s">
        <v>7</v>
      </c>
      <c r="E2" s="16">
        <v>31.14</v>
      </c>
      <c r="F2" s="8">
        <v>46053</v>
      </c>
      <c r="G2" s="7"/>
      <c r="H2" s="9"/>
      <c r="I2" s="17">
        <v>33.770000000000003</v>
      </c>
      <c r="K2" s="18">
        <f>+I2*C2</f>
        <v>26553.013300000002</v>
      </c>
    </row>
    <row r="3" spans="1:14" x14ac:dyDescent="0.35">
      <c r="A3" s="12" t="s">
        <v>13</v>
      </c>
      <c r="B3" s="13" t="s">
        <v>15</v>
      </c>
      <c r="C3" s="14">
        <v>237</v>
      </c>
      <c r="D3" s="15" t="s">
        <v>7</v>
      </c>
      <c r="E3" s="16">
        <v>42.381100000000004</v>
      </c>
      <c r="F3" s="8">
        <v>46053</v>
      </c>
      <c r="G3" s="7"/>
      <c r="H3" s="9"/>
      <c r="I3" s="17">
        <v>40.47</v>
      </c>
      <c r="K3" s="18">
        <f>+I3*C3</f>
        <v>9591.39</v>
      </c>
    </row>
    <row r="4" spans="1:14" x14ac:dyDescent="0.35">
      <c r="A4" s="12" t="s">
        <v>12</v>
      </c>
      <c r="B4" s="13" t="s">
        <v>14</v>
      </c>
      <c r="C4" s="14">
        <v>808.88599999999997</v>
      </c>
      <c r="D4" s="15" t="s">
        <v>7</v>
      </c>
      <c r="E4" s="16">
        <v>79.260800000000003</v>
      </c>
      <c r="F4" s="8">
        <v>46053</v>
      </c>
      <c r="G4" s="7"/>
      <c r="H4" s="9"/>
      <c r="I4" s="17">
        <v>153.56</v>
      </c>
      <c r="K4" s="18">
        <f>+I4*C4</f>
        <v>124212.53416</v>
      </c>
    </row>
    <row r="5" spans="1:14" x14ac:dyDescent="0.35">
      <c r="K5" s="18">
        <f>SUM(K2:K4)</f>
        <v>160356.93745999999</v>
      </c>
    </row>
  </sheetData>
  <conditionalFormatting sqref="A2:A4">
    <cfRule type="expression" dxfId="3" priority="7" stopIfTrue="1">
      <formula>IF(AND(ISNUMBER(SEARCH("H2O", A2)), ISNUMBER(SEARCH("SP", A2))), 1,0)</formula>
    </cfRule>
    <cfRule type="containsText" dxfId="2" priority="8" stopIfTrue="1" operator="containsText" text="BTP">
      <formula>NOT(ISERROR(SEARCH("BTP",A2)))</formula>
    </cfRule>
  </conditionalFormatting>
  <conditionalFormatting sqref="D2:D4">
    <cfRule type="notContainsText" dxfId="0" priority="6" operator="notContains" text="EUR">
      <formula>ISERROR(SEARCH("EUR",D2))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stopIfTrue="1" operator="containsText" id="{3AE5DE67-15A2-4F9B-AC82-395C205EEE6F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2026-01-31T18:43:18Z</dcterms:modified>
</cp:coreProperties>
</file>