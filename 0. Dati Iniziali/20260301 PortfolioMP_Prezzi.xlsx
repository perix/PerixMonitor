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9BF83276-0F56-46DE-9DBB-9C0E9F9BC439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2" i="1"/>
  <c r="B2" i="1"/>
  <c r="C2" i="1"/>
  <c r="D2" i="1"/>
  <c r="E2" i="1"/>
  <c r="A3" i="1"/>
  <c r="B3" i="1"/>
  <c r="C3" i="1"/>
  <c r="D3" i="1"/>
  <c r="E3" i="1"/>
  <c r="A4" i="1"/>
  <c r="B4" i="1"/>
  <c r="D4" i="1"/>
  <c r="E4" i="1"/>
  <c r="A5" i="1"/>
  <c r="B5" i="1"/>
  <c r="C5" i="1"/>
  <c r="D5" i="1"/>
  <c r="E5" i="1"/>
  <c r="A6" i="1"/>
  <c r="B6" i="1"/>
  <c r="C6" i="1"/>
  <c r="D6" i="1"/>
  <c r="E6" i="1"/>
  <c r="A7" i="1"/>
  <c r="B7" i="1"/>
  <c r="C7" i="1"/>
  <c r="D7" i="1"/>
  <c r="E7" i="1"/>
  <c r="A8" i="1"/>
  <c r="B8" i="1"/>
  <c r="C8" i="1"/>
  <c r="D8" i="1"/>
  <c r="E8" i="1"/>
  <c r="A9" i="1"/>
  <c r="B9" i="1"/>
  <c r="C9" i="1"/>
  <c r="D9" i="1"/>
  <c r="E9" i="1"/>
  <c r="A10" i="1"/>
  <c r="B10" i="1"/>
  <c r="C10" i="1"/>
  <c r="D10" i="1"/>
  <c r="E10" i="1"/>
  <c r="A11" i="1"/>
  <c r="B11" i="1"/>
  <c r="C11" i="1"/>
  <c r="D11" i="1"/>
  <c r="E11" i="1"/>
  <c r="A12" i="1"/>
  <c r="B12" i="1"/>
  <c r="C12" i="1"/>
  <c r="D12" i="1"/>
  <c r="E12" i="1"/>
  <c r="A13" i="1"/>
  <c r="B13" i="1"/>
  <c r="C13" i="1"/>
  <c r="D13" i="1"/>
  <c r="E13" i="1"/>
  <c r="A14" i="1"/>
  <c r="B14" i="1"/>
  <c r="C14" i="1"/>
  <c r="D14" i="1"/>
  <c r="E14" i="1"/>
  <c r="A15" i="1"/>
  <c r="B15" i="1"/>
  <c r="C15" i="1"/>
  <c r="D15" i="1"/>
  <c r="E15" i="1"/>
  <c r="A16" i="1"/>
  <c r="B16" i="1"/>
  <c r="C16" i="1"/>
  <c r="D16" i="1"/>
  <c r="E16" i="1"/>
  <c r="A17" i="1"/>
  <c r="B17" i="1"/>
  <c r="C17" i="1"/>
  <c r="D17" i="1"/>
  <c r="E17" i="1"/>
  <c r="A18" i="1"/>
  <c r="B18" i="1"/>
  <c r="C18" i="1"/>
  <c r="D18" i="1"/>
  <c r="E18" i="1"/>
  <c r="A19" i="1"/>
  <c r="B19" i="1"/>
  <c r="C19" i="1"/>
  <c r="D19" i="1"/>
  <c r="E19" i="1"/>
  <c r="I2" i="1"/>
  <c r="K2" i="1" s="1"/>
  <c r="I3" i="1"/>
  <c r="K3" i="1" s="1"/>
  <c r="I4" i="1"/>
  <c r="K4" i="1" s="1"/>
  <c r="I5" i="1"/>
  <c r="I6" i="1"/>
  <c r="I7" i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K5" i="1" l="1"/>
  <c r="K6" i="1"/>
  <c r="K7" i="1"/>
  <c r="K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" authorId="0" shapeId="0" xr:uid="{F3EA6C4C-02C9-4399-B379-A03F8AF902E3}">
      <text>
        <r>
          <rPr>
            <sz val="9"/>
            <color indexed="81"/>
            <rFont val="Tahoma"/>
            <family val="2"/>
          </rPr>
          <t>=LET(
    Prezzo, [@[Prezzo Mercato]],
    Divisa, [@Divisa],
     IF(Divisa="EUR", Prezzo,
       LET(
          Data, STOCKHISTORY(Divisa &amp; "/EUR", TODAY()-15, TODAY(), 0, 0, 1),
          TassiValidi, FILTER(Data, ISNUMBER(Data)),
          UltimoTasso, TAKE(TassiValidi, -1),
          Prezzo * UltimoTasso
       )
    )
)</t>
        </r>
      </text>
    </comment>
  </commentList>
</comments>
</file>

<file path=xl/sharedStrings.xml><?xml version="1.0" encoding="utf-8"?>
<sst xmlns="http://schemas.openxmlformats.org/spreadsheetml/2006/main" count="57" uniqueCount="55">
  <si>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</si>
  <si>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</si>
  <si>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</si>
  <si>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</si>
  <si>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</si>
  <si>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</si>
  <si>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</si>
  <si>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Prezzo Corrente (EUR)</t>
  </si>
  <si>
    <t>Prezzo Operazione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</si>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</sst>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0\ &quot;€&quot;"/>
    <numFmt numFmtId="165" formatCode="#,##0.00;;\-"/>
    <numFmt numFmtId="166" formatCode="0.0000"/>
    <numFmt numFmtId="167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0" fillId="0" borderId="3" xfId="0" applyBorder="1"/>
    <xf numFmtId="0" fontId="1" fillId="3" borderId="4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/>
    <xf numFmtId="0" fontId="5" fillId="0" borderId="0" xfId="0" applyFont="1"/>
    <xf numFmtId="8" fontId="4" fillId="6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167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01.%20Mauro\01.%20Personal%20Data\07.%20Finanza\01.1%20Banca\2.1%20Mediobanca%20MP\0.%20Reader%20Portafoglio%20-%2072531340%20(MP).xlsm" TargetMode="External"/><Relationship Id="rId1" Type="http://schemas.openxmlformats.org/officeDocument/2006/relationships/externalLinkPath" Target="file:///R:\01.%20Mauro\01.%20Personal%20Data\07.%20Finanza\01.1%20Banca\2.1%20Mediobanca%20MP\0.%20Reader%20Portafoglio%20-%2072531340%20(MP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foglio"/>
      <sheetName val="Costanti"/>
    </sheetNames>
    <sheetDataSet>
      <sheetData sheetId="0">
        <row r="7">
          <cell r="B7" t="str">
            <v>AMUNDI ELTIF PIR AP</v>
          </cell>
          <cell r="C7" t="str">
            <v>LU2906336990</v>
          </cell>
          <cell r="D7">
            <v>99.85</v>
          </cell>
          <cell r="E7" t="str">
            <v>EUR</v>
          </cell>
          <cell r="F7">
            <v>100</v>
          </cell>
          <cell r="J7">
            <v>46056.366570081016</v>
          </cell>
          <cell r="L7">
            <v>100.77</v>
          </cell>
        </row>
        <row r="8">
          <cell r="B8" t="str">
            <v>BSKT/BNPI 28</v>
          </cell>
          <cell r="C8" t="str">
            <v>XS3174997521</v>
          </cell>
          <cell r="D8">
            <v>155</v>
          </cell>
          <cell r="E8" t="str">
            <v>EUR</v>
          </cell>
          <cell r="F8">
            <v>94.621300000000005</v>
          </cell>
          <cell r="J8">
            <v>46056.366570081016</v>
          </cell>
          <cell r="L8">
            <v>95.99</v>
          </cell>
        </row>
        <row r="9">
          <cell r="B9" t="str">
            <v>BTP01.03.22-01.04.27</v>
          </cell>
          <cell r="C9" t="str">
            <v>IT0005484552</v>
          </cell>
          <cell r="E9" t="str">
            <v>EUR</v>
          </cell>
          <cell r="F9">
            <v>90.380700000000004</v>
          </cell>
          <cell r="J9">
            <v>46056.366570081016</v>
          </cell>
          <cell r="L9">
            <v>98.96</v>
          </cell>
        </row>
        <row r="10">
          <cell r="B10" t="str">
            <v>FID ASIA AGGR AC EUR</v>
          </cell>
          <cell r="C10" t="str">
            <v>LU0345361124</v>
          </cell>
          <cell r="D10">
            <v>786.29</v>
          </cell>
          <cell r="E10" t="str">
            <v>EUR</v>
          </cell>
          <cell r="F10">
            <v>31.14</v>
          </cell>
          <cell r="J10">
            <v>46056.366570081016</v>
          </cell>
          <cell r="L10">
            <v>33.24</v>
          </cell>
        </row>
        <row r="11">
          <cell r="B11" t="str">
            <v>FID GLO QLTY USD EUR</v>
          </cell>
          <cell r="C11" t="str">
            <v>IE00BYXVGZ48</v>
          </cell>
          <cell r="D11">
            <v>570</v>
          </cell>
          <cell r="E11" t="str">
            <v>EUR</v>
          </cell>
          <cell r="F11">
            <v>8.8187999999999995</v>
          </cell>
          <cell r="J11">
            <v>46056.366570081016</v>
          </cell>
          <cell r="L11">
            <v>9.2200000000000006</v>
          </cell>
        </row>
        <row r="12">
          <cell r="B12" t="str">
            <v>GLB X SILV USD-A EUR</v>
          </cell>
          <cell r="C12" t="str">
            <v>IE000UL6CLP7</v>
          </cell>
          <cell r="D12">
            <v>237</v>
          </cell>
          <cell r="E12" t="str">
            <v>EUR</v>
          </cell>
          <cell r="F12">
            <v>42.381100000000004</v>
          </cell>
          <cell r="J12">
            <v>46056.366570081016</v>
          </cell>
          <cell r="L12">
            <v>37.895000000000003</v>
          </cell>
        </row>
        <row r="13">
          <cell r="B13" t="str">
            <v>H2O MULTIBONDS R EUR</v>
          </cell>
          <cell r="C13" t="str">
            <v>FR0013393329</v>
          </cell>
          <cell r="D13">
            <v>808.88599999999997</v>
          </cell>
          <cell r="E13" t="str">
            <v>EUR</v>
          </cell>
          <cell r="F13">
            <v>79.260800000000003</v>
          </cell>
          <cell r="J13">
            <v>46056.366570081016</v>
          </cell>
          <cell r="L13">
            <v>153.02000000000001</v>
          </cell>
        </row>
        <row r="14">
          <cell r="B14" t="str">
            <v>H2O MULTISTRATEGIES</v>
          </cell>
          <cell r="C14" t="str">
            <v>FR0010923383</v>
          </cell>
          <cell r="D14">
            <v>255.42699999999999</v>
          </cell>
          <cell r="E14" t="str">
            <v>EUR</v>
          </cell>
          <cell r="F14">
            <v>188.8296</v>
          </cell>
          <cell r="J14">
            <v>46056.366570081016</v>
          </cell>
          <cell r="L14">
            <v>385.74</v>
          </cell>
        </row>
        <row r="15">
          <cell r="B15" t="str">
            <v>ISHS MSCI WORLD EUR</v>
          </cell>
          <cell r="C15" t="str">
            <v>IE00B4L5Y983</v>
          </cell>
          <cell r="D15">
            <v>47</v>
          </cell>
          <cell r="E15" t="str">
            <v>EUR</v>
          </cell>
          <cell r="F15">
            <v>108.09699999999999</v>
          </cell>
          <cell r="J15">
            <v>46056.366570081016</v>
          </cell>
          <cell r="L15">
            <v>113.44</v>
          </cell>
        </row>
        <row r="16">
          <cell r="B16" t="str">
            <v>M&amp;G EUROP STRA VAL A</v>
          </cell>
          <cell r="C16" t="str">
            <v>LU1670707527</v>
          </cell>
          <cell r="D16">
            <v>945.54899999999998</v>
          </cell>
          <cell r="E16" t="str">
            <v>EUR</v>
          </cell>
          <cell r="F16">
            <v>16.910799999999998</v>
          </cell>
          <cell r="J16">
            <v>46056.366570081016</v>
          </cell>
          <cell r="L16">
            <v>21.462599999999998</v>
          </cell>
        </row>
        <row r="17">
          <cell r="B17" t="str">
            <v>MSIF GL BRDS AC</v>
          </cell>
          <cell r="C17" t="str">
            <v>LU0119620416</v>
          </cell>
          <cell r="D17">
            <v>104.37</v>
          </cell>
          <cell r="E17" t="str">
            <v>USD</v>
          </cell>
          <cell r="F17">
            <v>183.25</v>
          </cell>
          <cell r="J17">
            <v>46056.366570081016</v>
          </cell>
          <cell r="L17">
            <v>180.55615999999998</v>
          </cell>
        </row>
        <row r="18">
          <cell r="B18" t="str">
            <v>MSIF GL OPP AC</v>
          </cell>
          <cell r="C18" t="str">
            <v>LU0552385295</v>
          </cell>
          <cell r="D18">
            <v>207.953</v>
          </cell>
          <cell r="E18" t="str">
            <v>USD</v>
          </cell>
          <cell r="F18">
            <v>86.142099999999999</v>
          </cell>
          <cell r="J18">
            <v>46056.366570081016</v>
          </cell>
          <cell r="L18">
            <v>136.03616</v>
          </cell>
        </row>
        <row r="19">
          <cell r="B19" t="str">
            <v>N1 CLIM ENV EQ B EUR</v>
          </cell>
          <cell r="C19" t="str">
            <v>LU0348926287</v>
          </cell>
          <cell r="D19">
            <v>448.18400000000003</v>
          </cell>
          <cell r="E19" t="str">
            <v>EUR</v>
          </cell>
          <cell r="F19">
            <v>24.51</v>
          </cell>
          <cell r="J19">
            <v>46056.366570081016</v>
          </cell>
          <cell r="L19">
            <v>35.299799999999998</v>
          </cell>
        </row>
        <row r="20">
          <cell r="B20" t="str">
            <v>N1 EUR BANK D BP EUR</v>
          </cell>
          <cell r="C20" t="str">
            <v>LU0772944145</v>
          </cell>
          <cell r="D20">
            <v>117.944</v>
          </cell>
          <cell r="E20" t="str">
            <v>EUR</v>
          </cell>
          <cell r="F20">
            <v>188.49709999999999</v>
          </cell>
          <cell r="J20">
            <v>46056.366570081016</v>
          </cell>
          <cell r="L20">
            <v>210.91560000000001</v>
          </cell>
        </row>
        <row r="21">
          <cell r="B21" t="str">
            <v>SISF ASIAN OP AC EUR</v>
          </cell>
          <cell r="C21" t="str">
            <v>LU0248184466</v>
          </cell>
          <cell r="D21">
            <v>586.02</v>
          </cell>
          <cell r="E21" t="str">
            <v>EUR</v>
          </cell>
          <cell r="F21">
            <v>17.7333</v>
          </cell>
          <cell r="J21">
            <v>46056.366570081016</v>
          </cell>
          <cell r="L21">
            <v>26.828800000000001</v>
          </cell>
        </row>
        <row r="22">
          <cell r="B22" t="str">
            <v>VON EXPE28</v>
          </cell>
          <cell r="C22" t="str">
            <v>DE000VJ0K5X0</v>
          </cell>
          <cell r="D22">
            <v>15</v>
          </cell>
          <cell r="E22" t="str">
            <v>EUR</v>
          </cell>
          <cell r="F22">
            <v>1009.4647</v>
          </cell>
          <cell r="J22">
            <v>46056.366570081016</v>
          </cell>
          <cell r="L22">
            <v>1011</v>
          </cell>
        </row>
        <row r="23">
          <cell r="B23" t="str">
            <v>VON EXPE29</v>
          </cell>
          <cell r="C23" t="str">
            <v>DE000VJ20861</v>
          </cell>
          <cell r="D23">
            <v>205</v>
          </cell>
          <cell r="E23" t="str">
            <v>EUR</v>
          </cell>
          <cell r="F23">
            <v>97.022000000000006</v>
          </cell>
          <cell r="J23">
            <v>46056.366570081016</v>
          </cell>
          <cell r="L23">
            <v>99.4</v>
          </cell>
        </row>
        <row r="24">
          <cell r="B24" t="str">
            <v>XTRACKERS INFORM EUR</v>
          </cell>
          <cell r="C24" t="str">
            <v>IE00BM67HT60</v>
          </cell>
          <cell r="D24">
            <v>86</v>
          </cell>
          <cell r="E24" t="str">
            <v>EUR</v>
          </cell>
          <cell r="F24">
            <v>93.194999999999993</v>
          </cell>
          <cell r="J24">
            <v>46056.366570081016</v>
          </cell>
          <cell r="L24">
            <v>98.9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N19"/>
  <sheetViews>
    <sheetView showGridLines="0" tabSelected="1" workbookViewId="0">
      <pane ySplit="1" topLeftCell="A2" activePane="bottomLeft" state="frozenSplit"/>
      <selection pane="bottomLeft" activeCell="C5" sqref="C5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6" bestFit="1" customWidth="1"/>
    <col min="7" max="7" width="16.54296875" customWidth="1"/>
    <col min="8" max="8" width="22.26953125" customWidth="1"/>
    <col min="9" max="9" width="21.90625" customWidth="1"/>
    <col min="11" max="11" width="12.6328125" bestFit="1" customWidth="1"/>
    <col min="13" max="13" width="17.90625" bestFit="1" customWidth="1"/>
    <col min="14" max="14" width="19.1796875" customWidth="1"/>
  </cols>
  <sheetData>
    <row r="1" spans="1:14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8</v>
      </c>
      <c r="I1" s="3" t="s">
        <v>7</v>
      </c>
      <c r="K1" s="20">
        <f>SUM(K2:K19)</f>
        <v>485583.31823267997</v>
      </c>
      <c r="L1" s="19" t="s">
        <v>54</v>
      </c>
    </row>
    <row r="2" spans="1:14" x14ac:dyDescent="0.35">
      <c r="A2" s="21" t="str">
        <f>[1]Portafoglio!B7</f>
        <v>AMUNDI ELTIF PIR AP</v>
      </c>
      <c r="B2" s="22" t="str">
        <f>[1]Portafoglio!C7</f>
        <v>LU2906336990</v>
      </c>
      <c r="C2" s="23">
        <f>[1]Portafoglio!D7</f>
        <v>99.85</v>
      </c>
      <c r="D2" s="24" t="str">
        <f>[1]Portafoglio!E7</f>
        <v>EUR</v>
      </c>
      <c r="E2" s="25">
        <f>[1]Portafoglio!F7</f>
        <v>100</v>
      </c>
      <c r="F2" s="17">
        <f>TRUNC([1]Portafoglio!J7)</f>
        <v>46056</v>
      </c>
      <c r="G2" s="16"/>
      <c r="H2" s="18"/>
      <c r="I2" s="28">
        <f>[1]Portafoglio!L7</f>
        <v>100.77</v>
      </c>
      <c r="K2" s="26">
        <f>+C2*I2</f>
        <v>10061.884499999998</v>
      </c>
    </row>
    <row r="3" spans="1:14" x14ac:dyDescent="0.35">
      <c r="A3" s="21" t="str">
        <f>[1]Portafoglio!B8</f>
        <v>BSKT/BNPI 28</v>
      </c>
      <c r="B3" s="22" t="str">
        <f>[1]Portafoglio!C8</f>
        <v>XS3174997521</v>
      </c>
      <c r="C3" s="23">
        <f>[1]Portafoglio!D8</f>
        <v>155</v>
      </c>
      <c r="D3" s="24" t="str">
        <f>[1]Portafoglio!E8</f>
        <v>EUR</v>
      </c>
      <c r="E3" s="25">
        <f>[1]Portafoglio!F8</f>
        <v>94.621300000000005</v>
      </c>
      <c r="F3" s="17">
        <f>TRUNC([1]Portafoglio!J8)</f>
        <v>46056</v>
      </c>
      <c r="G3" s="16"/>
      <c r="H3" s="18"/>
      <c r="I3" s="28">
        <f>[1]Portafoglio!L8</f>
        <v>95.99</v>
      </c>
      <c r="K3" s="26">
        <f t="shared" ref="K3:K19" si="0">+C3*I3</f>
        <v>14878.449999999999</v>
      </c>
    </row>
    <row r="4" spans="1:14" x14ac:dyDescent="0.35">
      <c r="A4" s="21" t="str">
        <f>[1]Portafoglio!B9</f>
        <v>BTP01.03.22-01.04.27</v>
      </c>
      <c r="B4" s="22" t="str">
        <f>[1]Portafoglio!C9</f>
        <v>IT0005484552</v>
      </c>
      <c r="C4" s="23">
        <v>250</v>
      </c>
      <c r="D4" s="24" t="str">
        <f>[1]Portafoglio!E9</f>
        <v>EUR</v>
      </c>
      <c r="E4" s="25">
        <f>[1]Portafoglio!F9</f>
        <v>90.380700000000004</v>
      </c>
      <c r="F4" s="17">
        <f>TRUNC([1]Portafoglio!J9)</f>
        <v>46056</v>
      </c>
      <c r="G4" s="16"/>
      <c r="H4" s="18"/>
      <c r="I4" s="28">
        <f>[1]Portafoglio!L9</f>
        <v>98.96</v>
      </c>
      <c r="K4" s="26">
        <f t="shared" si="0"/>
        <v>24740</v>
      </c>
    </row>
    <row r="5" spans="1:14" x14ac:dyDescent="0.35">
      <c r="A5" s="21" t="str">
        <f>[1]Portafoglio!B10</f>
        <v>FID ASIA AGGR AC EUR</v>
      </c>
      <c r="B5" s="22" t="str">
        <f>[1]Portafoglio!C10</f>
        <v>LU0345361124</v>
      </c>
      <c r="C5" s="23">
        <f>[1]Portafoglio!D10</f>
        <v>786.29</v>
      </c>
      <c r="D5" s="24" t="str">
        <f>[1]Portafoglio!E10</f>
        <v>EUR</v>
      </c>
      <c r="E5" s="25">
        <f>[1]Portafoglio!F10</f>
        <v>31.14</v>
      </c>
      <c r="F5" s="17">
        <f>TRUNC([1]Portafoglio!J10)</f>
        <v>46056</v>
      </c>
      <c r="G5" s="16"/>
      <c r="H5" s="18"/>
      <c r="I5" s="28">
        <f>[1]Portafoglio!L10</f>
        <v>33.24</v>
      </c>
      <c r="K5" s="26">
        <f t="shared" si="0"/>
        <v>26136.279600000002</v>
      </c>
      <c r="M5" s="26"/>
      <c r="N5" s="27"/>
    </row>
    <row r="6" spans="1:14" x14ac:dyDescent="0.35">
      <c r="A6" s="21" t="str">
        <f>[1]Portafoglio!B11</f>
        <v>FID GLO QLTY USD EUR</v>
      </c>
      <c r="B6" s="22" t="str">
        <f>[1]Portafoglio!C11</f>
        <v>IE00BYXVGZ48</v>
      </c>
      <c r="C6" s="23">
        <f>[1]Portafoglio!D11</f>
        <v>570</v>
      </c>
      <c r="D6" s="24" t="str">
        <f>[1]Portafoglio!E11</f>
        <v>EUR</v>
      </c>
      <c r="E6" s="25">
        <f>[1]Portafoglio!F11</f>
        <v>8.8187999999999995</v>
      </c>
      <c r="F6" s="17">
        <f>TRUNC([1]Portafoglio!J11)</f>
        <v>46056</v>
      </c>
      <c r="G6" s="16"/>
      <c r="H6" s="18"/>
      <c r="I6" s="28">
        <f>[1]Portafoglio!L11</f>
        <v>9.2200000000000006</v>
      </c>
      <c r="K6" s="26">
        <f t="shared" si="0"/>
        <v>5255.4000000000005</v>
      </c>
      <c r="M6" s="26"/>
      <c r="N6" s="27"/>
    </row>
    <row r="7" spans="1:14" x14ac:dyDescent="0.35">
      <c r="A7" s="21" t="str">
        <f>[1]Portafoglio!B12</f>
        <v>GLB X SILV USD-A EUR</v>
      </c>
      <c r="B7" s="22" t="str">
        <f>[1]Portafoglio!C12</f>
        <v>IE000UL6CLP7</v>
      </c>
      <c r="C7" s="23">
        <f>[1]Portafoglio!D12</f>
        <v>237</v>
      </c>
      <c r="D7" s="24" t="str">
        <f>[1]Portafoglio!E12</f>
        <v>EUR</v>
      </c>
      <c r="E7" s="25">
        <f>[1]Portafoglio!F12</f>
        <v>42.381100000000004</v>
      </c>
      <c r="F7" s="17">
        <f>TRUNC([1]Portafoglio!J12)</f>
        <v>46056</v>
      </c>
      <c r="G7" s="16"/>
      <c r="H7" s="18"/>
      <c r="I7" s="28">
        <f>[1]Portafoglio!L12</f>
        <v>37.895000000000003</v>
      </c>
      <c r="K7" s="26">
        <f t="shared" si="0"/>
        <v>8981.1150000000016</v>
      </c>
      <c r="M7" s="26"/>
      <c r="N7" s="27"/>
    </row>
    <row r="8" spans="1:14" x14ac:dyDescent="0.35">
      <c r="A8" s="21" t="str">
        <f>[1]Portafoglio!B13</f>
        <v>H2O MULTIBONDS R EUR</v>
      </c>
      <c r="B8" s="22" t="str">
        <f>[1]Portafoglio!C13</f>
        <v>FR0013393329</v>
      </c>
      <c r="C8" s="23">
        <f>[1]Portafoglio!D13</f>
        <v>808.88599999999997</v>
      </c>
      <c r="D8" s="24" t="str">
        <f>[1]Portafoglio!E13</f>
        <v>EUR</v>
      </c>
      <c r="E8" s="25">
        <f>[1]Portafoglio!F13</f>
        <v>79.260800000000003</v>
      </c>
      <c r="F8" s="17">
        <f>TRUNC([1]Portafoglio!J13)</f>
        <v>46056</v>
      </c>
      <c r="G8" s="16"/>
      <c r="H8" s="18"/>
      <c r="I8" s="28">
        <f>[1]Portafoglio!L13</f>
        <v>153.02000000000001</v>
      </c>
      <c r="K8" s="26">
        <f t="shared" si="0"/>
        <v>123775.73572</v>
      </c>
    </row>
    <row r="9" spans="1:14" x14ac:dyDescent="0.35">
      <c r="A9" s="21" t="str">
        <f>[1]Portafoglio!B14</f>
        <v>H2O MULTISTRATEGIES</v>
      </c>
      <c r="B9" s="22" t="str">
        <f>[1]Portafoglio!C14</f>
        <v>FR0010923383</v>
      </c>
      <c r="C9" s="23">
        <f>[1]Portafoglio!D14</f>
        <v>255.42699999999999</v>
      </c>
      <c r="D9" s="24" t="str">
        <f>[1]Portafoglio!E14</f>
        <v>EUR</v>
      </c>
      <c r="E9" s="25">
        <f>[1]Portafoglio!F14</f>
        <v>188.8296</v>
      </c>
      <c r="F9" s="17">
        <f>TRUNC([1]Portafoglio!J14)</f>
        <v>46056</v>
      </c>
      <c r="G9" s="16"/>
      <c r="H9" s="18"/>
      <c r="I9" s="28">
        <f>[1]Portafoglio!L14</f>
        <v>385.74</v>
      </c>
      <c r="K9" s="26">
        <f t="shared" si="0"/>
        <v>98528.410980000001</v>
      </c>
      <c r="M9" s="26"/>
    </row>
    <row r="10" spans="1:14" x14ac:dyDescent="0.35">
      <c r="A10" s="21" t="str">
        <f>[1]Portafoglio!B15</f>
        <v>ISHS MSCI WORLD EUR</v>
      </c>
      <c r="B10" s="22" t="str">
        <f>[1]Portafoglio!C15</f>
        <v>IE00B4L5Y983</v>
      </c>
      <c r="C10" s="23">
        <f>[1]Portafoglio!D15</f>
        <v>47</v>
      </c>
      <c r="D10" s="24" t="str">
        <f>[1]Portafoglio!E15</f>
        <v>EUR</v>
      </c>
      <c r="E10" s="25">
        <f>[1]Portafoglio!F15</f>
        <v>108.09699999999999</v>
      </c>
      <c r="F10" s="17">
        <f>TRUNC([1]Portafoglio!J15)</f>
        <v>46056</v>
      </c>
      <c r="G10" s="16"/>
      <c r="H10" s="18"/>
      <c r="I10" s="28">
        <f>[1]Portafoglio!L15</f>
        <v>113.44</v>
      </c>
      <c r="K10" s="26">
        <f t="shared" si="0"/>
        <v>5331.68</v>
      </c>
    </row>
    <row r="11" spans="1:14" x14ac:dyDescent="0.35">
      <c r="A11" s="21" t="str">
        <f>[1]Portafoglio!B16</f>
        <v>M&amp;G EUROP STRA VAL A</v>
      </c>
      <c r="B11" s="22" t="str">
        <f>[1]Portafoglio!C16</f>
        <v>LU1670707527</v>
      </c>
      <c r="C11" s="23">
        <f>[1]Portafoglio!D16</f>
        <v>945.54899999999998</v>
      </c>
      <c r="D11" s="24" t="str">
        <f>[1]Portafoglio!E16</f>
        <v>EUR</v>
      </c>
      <c r="E11" s="25">
        <f>[1]Portafoglio!F16</f>
        <v>16.910799999999998</v>
      </c>
      <c r="F11" s="17">
        <f>TRUNC([1]Portafoglio!J16)</f>
        <v>46056</v>
      </c>
      <c r="G11" s="16"/>
      <c r="H11" s="18"/>
      <c r="I11" s="28">
        <f>[1]Portafoglio!L16</f>
        <v>21.462599999999998</v>
      </c>
      <c r="K11" s="26">
        <f t="shared" si="0"/>
        <v>20293.939967399998</v>
      </c>
    </row>
    <row r="12" spans="1:14" x14ac:dyDescent="0.35">
      <c r="A12" s="21" t="str">
        <f>[1]Portafoglio!B17</f>
        <v>MSIF GL BRDS AC</v>
      </c>
      <c r="B12" s="22" t="str">
        <f>[1]Portafoglio!C17</f>
        <v>LU0119620416</v>
      </c>
      <c r="C12" s="23">
        <f>[1]Portafoglio!D17</f>
        <v>104.37</v>
      </c>
      <c r="D12" s="24" t="str">
        <f>[1]Portafoglio!E17</f>
        <v>USD</v>
      </c>
      <c r="E12" s="25">
        <f>[1]Portafoglio!F17</f>
        <v>183.25</v>
      </c>
      <c r="F12" s="17">
        <f>TRUNC([1]Portafoglio!J17)</f>
        <v>46056</v>
      </c>
      <c r="G12" s="16"/>
      <c r="H12" s="18"/>
      <c r="I12" s="28">
        <f>[1]Portafoglio!L17</f>
        <v>180.55615999999998</v>
      </c>
      <c r="K12" s="26">
        <f t="shared" si="0"/>
        <v>18844.646419199998</v>
      </c>
    </row>
    <row r="13" spans="1:14" x14ac:dyDescent="0.35">
      <c r="A13" s="21" t="str">
        <f>[1]Portafoglio!B18</f>
        <v>MSIF GL OPP AC</v>
      </c>
      <c r="B13" s="22" t="str">
        <f>[1]Portafoglio!C18</f>
        <v>LU0552385295</v>
      </c>
      <c r="C13" s="23">
        <f>[1]Portafoglio!D18</f>
        <v>207.953</v>
      </c>
      <c r="D13" s="24" t="str">
        <f>[1]Portafoglio!E18</f>
        <v>USD</v>
      </c>
      <c r="E13" s="25">
        <f>[1]Portafoglio!F18</f>
        <v>86.142099999999999</v>
      </c>
      <c r="F13" s="17">
        <f>TRUNC([1]Portafoglio!J18)</f>
        <v>46056</v>
      </c>
      <c r="G13" s="16"/>
      <c r="H13" s="18"/>
      <c r="I13" s="28">
        <f>[1]Portafoglio!L18</f>
        <v>136.03616</v>
      </c>
      <c r="K13" s="26">
        <f t="shared" si="0"/>
        <v>28289.127580479999</v>
      </c>
    </row>
    <row r="14" spans="1:14" x14ac:dyDescent="0.35">
      <c r="A14" s="21" t="str">
        <f>[1]Portafoglio!B19</f>
        <v>N1 CLIM ENV EQ B EUR</v>
      </c>
      <c r="B14" s="22" t="str">
        <f>[1]Portafoglio!C19</f>
        <v>LU0348926287</v>
      </c>
      <c r="C14" s="23">
        <f>[1]Portafoglio!D19</f>
        <v>448.18400000000003</v>
      </c>
      <c r="D14" s="24" t="str">
        <f>[1]Portafoglio!E19</f>
        <v>EUR</v>
      </c>
      <c r="E14" s="25">
        <f>[1]Portafoglio!F19</f>
        <v>24.51</v>
      </c>
      <c r="F14" s="17">
        <f>TRUNC([1]Portafoglio!J19)</f>
        <v>46056</v>
      </c>
      <c r="G14" s="16"/>
      <c r="H14" s="18"/>
      <c r="I14" s="28">
        <f>[1]Portafoglio!L19</f>
        <v>35.299799999999998</v>
      </c>
      <c r="K14" s="26">
        <f t="shared" si="0"/>
        <v>15820.8055632</v>
      </c>
    </row>
    <row r="15" spans="1:14" x14ac:dyDescent="0.35">
      <c r="A15" s="21" t="str">
        <f>[1]Portafoglio!B20</f>
        <v>N1 EUR BANK D BP EUR</v>
      </c>
      <c r="B15" s="22" t="str">
        <f>[1]Portafoglio!C20</f>
        <v>LU0772944145</v>
      </c>
      <c r="C15" s="23">
        <f>[1]Portafoglio!D20</f>
        <v>117.944</v>
      </c>
      <c r="D15" s="24" t="str">
        <f>[1]Portafoglio!E20</f>
        <v>EUR</v>
      </c>
      <c r="E15" s="25">
        <f>[1]Portafoglio!F20</f>
        <v>188.49709999999999</v>
      </c>
      <c r="F15" s="17">
        <f>TRUNC([1]Portafoglio!J20)</f>
        <v>46056</v>
      </c>
      <c r="G15" s="16"/>
      <c r="H15" s="18"/>
      <c r="I15" s="28">
        <f>[1]Portafoglio!L20</f>
        <v>210.91560000000001</v>
      </c>
      <c r="K15" s="26">
        <f t="shared" si="0"/>
        <v>24876.229526400002</v>
      </c>
    </row>
    <row r="16" spans="1:14" x14ac:dyDescent="0.35">
      <c r="A16" s="21" t="str">
        <f>[1]Portafoglio!B21</f>
        <v>SISF ASIAN OP AC EUR</v>
      </c>
      <c r="B16" s="22" t="str">
        <f>[1]Portafoglio!C21</f>
        <v>LU0248184466</v>
      </c>
      <c r="C16" s="23">
        <f>[1]Portafoglio!D21</f>
        <v>586.02</v>
      </c>
      <c r="D16" s="24" t="str">
        <f>[1]Portafoglio!E21</f>
        <v>EUR</v>
      </c>
      <c r="E16" s="25">
        <f>[1]Portafoglio!F21</f>
        <v>17.7333</v>
      </c>
      <c r="F16" s="17">
        <f>TRUNC([1]Portafoglio!J21)</f>
        <v>46056</v>
      </c>
      <c r="G16" s="16"/>
      <c r="H16" s="18"/>
      <c r="I16" s="28">
        <f>[1]Portafoglio!L21</f>
        <v>26.828800000000001</v>
      </c>
      <c r="K16" s="26">
        <f t="shared" si="0"/>
        <v>15722.213376</v>
      </c>
    </row>
    <row r="17" spans="1:11" x14ac:dyDescent="0.35">
      <c r="A17" s="21" t="str">
        <f>[1]Portafoglio!B22</f>
        <v>VON EXPE28</v>
      </c>
      <c r="B17" s="22" t="str">
        <f>[1]Portafoglio!C22</f>
        <v>DE000VJ0K5X0</v>
      </c>
      <c r="C17" s="23">
        <f>[1]Portafoglio!D22</f>
        <v>15</v>
      </c>
      <c r="D17" s="24" t="str">
        <f>[1]Portafoglio!E22</f>
        <v>EUR</v>
      </c>
      <c r="E17" s="25">
        <f>[1]Portafoglio!F22</f>
        <v>1009.4647</v>
      </c>
      <c r="F17" s="17">
        <f>TRUNC([1]Portafoglio!J22)</f>
        <v>46056</v>
      </c>
      <c r="G17" s="16"/>
      <c r="H17" s="18"/>
      <c r="I17" s="28">
        <f>[1]Portafoglio!L22</f>
        <v>1011</v>
      </c>
      <c r="K17" s="26">
        <f t="shared" si="0"/>
        <v>15165</v>
      </c>
    </row>
    <row r="18" spans="1:11" x14ac:dyDescent="0.35">
      <c r="A18" s="21" t="str">
        <f>[1]Portafoglio!B23</f>
        <v>VON EXPE29</v>
      </c>
      <c r="B18" s="22" t="str">
        <f>[1]Portafoglio!C23</f>
        <v>DE000VJ20861</v>
      </c>
      <c r="C18" s="23">
        <f>[1]Portafoglio!D23</f>
        <v>205</v>
      </c>
      <c r="D18" s="24" t="str">
        <f>[1]Portafoglio!E23</f>
        <v>EUR</v>
      </c>
      <c r="E18" s="25">
        <f>[1]Portafoglio!F23</f>
        <v>97.022000000000006</v>
      </c>
      <c r="F18" s="17">
        <f>TRUNC([1]Portafoglio!J23)</f>
        <v>46056</v>
      </c>
      <c r="G18" s="16"/>
      <c r="H18" s="18"/>
      <c r="I18" s="28">
        <f>[1]Portafoglio!L23</f>
        <v>99.4</v>
      </c>
      <c r="K18" s="26">
        <f t="shared" si="0"/>
        <v>20377</v>
      </c>
    </row>
    <row r="19" spans="1:11" x14ac:dyDescent="0.35">
      <c r="A19" s="21" t="str">
        <f>[1]Portafoglio!B24</f>
        <v>XTRACKERS INFORM EUR</v>
      </c>
      <c r="B19" s="22" t="str">
        <f>[1]Portafoglio!C24</f>
        <v>IE00BM67HT60</v>
      </c>
      <c r="C19" s="23">
        <f>[1]Portafoglio!D24</f>
        <v>86</v>
      </c>
      <c r="D19" s="24" t="str">
        <f>[1]Portafoglio!E24</f>
        <v>EUR</v>
      </c>
      <c r="E19" s="25">
        <f>[1]Portafoglio!F24</f>
        <v>93.194999999999993</v>
      </c>
      <c r="F19" s="17">
        <f>TRUNC([1]Portafoglio!J24)</f>
        <v>46056</v>
      </c>
      <c r="G19" s="16"/>
      <c r="H19" s="18"/>
      <c r="I19" s="28">
        <f>[1]Portafoglio!L24</f>
        <v>98.9</v>
      </c>
      <c r="K19" s="26">
        <f t="shared" si="0"/>
        <v>8505.4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7" t="s">
        <v>0</v>
      </c>
      <c r="B1" s="15" t="s">
        <v>1</v>
      </c>
      <c r="C1" s="11" t="s">
        <v>32</v>
      </c>
    </row>
    <row r="2" spans="1:3" x14ac:dyDescent="0.35">
      <c r="A2" s="8" t="s">
        <v>11</v>
      </c>
      <c r="B2" s="8" t="s">
        <v>33</v>
      </c>
      <c r="C2" s="12">
        <v>45002</v>
      </c>
    </row>
    <row r="3" spans="1:3" x14ac:dyDescent="0.35">
      <c r="A3" s="4" t="s">
        <v>12</v>
      </c>
      <c r="B3" s="4" t="s">
        <v>34</v>
      </c>
      <c r="C3" s="5">
        <v>45002</v>
      </c>
    </row>
    <row r="4" spans="1:3" x14ac:dyDescent="0.35">
      <c r="A4" s="8" t="s">
        <v>10</v>
      </c>
      <c r="B4" s="8" t="s">
        <v>9</v>
      </c>
      <c r="C4" s="12">
        <v>45355</v>
      </c>
    </row>
    <row r="5" spans="1:3" x14ac:dyDescent="0.35">
      <c r="A5" s="4" t="s">
        <v>13</v>
      </c>
      <c r="B5" s="4" t="s">
        <v>35</v>
      </c>
      <c r="C5" s="5">
        <v>45355</v>
      </c>
    </row>
    <row r="6" spans="1:3" x14ac:dyDescent="0.35">
      <c r="A6" s="8" t="s">
        <v>14</v>
      </c>
      <c r="B6" s="8" t="s">
        <v>36</v>
      </c>
      <c r="C6" s="12">
        <v>45355</v>
      </c>
    </row>
    <row r="7" spans="1:3" x14ac:dyDescent="0.35">
      <c r="A7" s="4" t="s">
        <v>19</v>
      </c>
      <c r="B7" s="4" t="s">
        <v>41</v>
      </c>
      <c r="C7" s="5">
        <v>45355</v>
      </c>
    </row>
    <row r="8" spans="1:3" x14ac:dyDescent="0.35">
      <c r="A8" s="8" t="s">
        <v>20</v>
      </c>
      <c r="B8" s="8" t="s">
        <v>42</v>
      </c>
      <c r="C8" s="12">
        <v>45355</v>
      </c>
    </row>
    <row r="9" spans="1:3" x14ac:dyDescent="0.35">
      <c r="A9" s="4" t="s">
        <v>21</v>
      </c>
      <c r="B9" s="4" t="s">
        <v>43</v>
      </c>
      <c r="C9" s="5">
        <v>45355</v>
      </c>
    </row>
    <row r="10" spans="1:3" x14ac:dyDescent="0.35">
      <c r="A10" s="4" t="s">
        <v>23</v>
      </c>
      <c r="B10" s="4" t="s">
        <v>45</v>
      </c>
      <c r="C10" s="5">
        <v>45355</v>
      </c>
    </row>
    <row r="11" spans="1:3" x14ac:dyDescent="0.35">
      <c r="A11" s="8" t="s">
        <v>24</v>
      </c>
      <c r="B11" s="8" t="s">
        <v>46</v>
      </c>
      <c r="C11" s="12">
        <v>45355</v>
      </c>
    </row>
    <row r="12" spans="1:3" x14ac:dyDescent="0.35">
      <c r="A12" s="4" t="s">
        <v>27</v>
      </c>
      <c r="B12" s="4" t="s">
        <v>49</v>
      </c>
      <c r="C12" s="5">
        <v>45355</v>
      </c>
    </row>
    <row r="13" spans="1:3" x14ac:dyDescent="0.35">
      <c r="A13" s="8" t="s">
        <v>26</v>
      </c>
      <c r="B13" s="8" t="s">
        <v>48</v>
      </c>
      <c r="C13" s="12">
        <v>45701</v>
      </c>
    </row>
    <row r="14" spans="1:3" x14ac:dyDescent="0.35">
      <c r="A14" s="4" t="s">
        <v>15</v>
      </c>
      <c r="B14" s="4" t="s">
        <v>37</v>
      </c>
      <c r="C14" s="5">
        <v>45702</v>
      </c>
    </row>
    <row r="15" spans="1:3" x14ac:dyDescent="0.35">
      <c r="A15" s="4" t="s">
        <v>17</v>
      </c>
      <c r="B15" s="4" t="s">
        <v>39</v>
      </c>
      <c r="C15" s="5">
        <v>45702</v>
      </c>
    </row>
    <row r="16" spans="1:3" x14ac:dyDescent="0.35">
      <c r="A16" s="8" t="s">
        <v>18</v>
      </c>
      <c r="B16" s="8" t="s">
        <v>40</v>
      </c>
      <c r="C16" s="12">
        <v>45702</v>
      </c>
    </row>
    <row r="17" spans="1:3" x14ac:dyDescent="0.35">
      <c r="A17" s="8" t="s">
        <v>16</v>
      </c>
      <c r="B17" s="8" t="s">
        <v>38</v>
      </c>
      <c r="C17" s="12">
        <v>45705</v>
      </c>
    </row>
    <row r="18" spans="1:3" x14ac:dyDescent="0.35">
      <c r="A18" s="4" t="s">
        <v>25</v>
      </c>
      <c r="B18" s="4" t="s">
        <v>47</v>
      </c>
      <c r="C18" s="5">
        <v>45706</v>
      </c>
    </row>
    <row r="19" spans="1:3" x14ac:dyDescent="0.35">
      <c r="A19" s="8" t="s">
        <v>22</v>
      </c>
      <c r="B19" s="8" t="s">
        <v>44</v>
      </c>
      <c r="C19" s="12">
        <v>45806</v>
      </c>
    </row>
    <row r="20" spans="1:3" x14ac:dyDescent="0.35">
      <c r="A20" s="9" t="s">
        <v>28</v>
      </c>
      <c r="B20" s="9" t="s">
        <v>50</v>
      </c>
      <c r="C20" s="13">
        <v>46044</v>
      </c>
    </row>
    <row r="21" spans="1:3" x14ac:dyDescent="0.35">
      <c r="A21" s="10" t="s">
        <v>29</v>
      </c>
      <c r="B21" s="10" t="s">
        <v>51</v>
      </c>
      <c r="C21" s="14">
        <v>46044</v>
      </c>
    </row>
    <row r="22" spans="1:3" x14ac:dyDescent="0.35">
      <c r="A22" s="4" t="s">
        <v>31</v>
      </c>
      <c r="B22" s="4" t="s">
        <v>53</v>
      </c>
      <c r="C22" s="5">
        <v>46044</v>
      </c>
    </row>
    <row r="23" spans="1:3" x14ac:dyDescent="0.35">
      <c r="A23" s="9" t="s">
        <v>30</v>
      </c>
      <c r="B23" s="9" t="s">
        <v>52</v>
      </c>
      <c r="C23" s="13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2026-02-03T10:16:35Z</dcterms:modified>
</cp:coreProperties>
</file>