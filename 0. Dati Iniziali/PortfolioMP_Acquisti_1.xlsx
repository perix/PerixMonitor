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DA55ED25-0EF5-45B6-96E0-35302220836B}" xr6:coauthVersionLast="47" xr6:coauthVersionMax="47" xr10:uidLastSave="{00000000-0000-0000-0000-000000000000}"/>
  <bookViews>
    <workbookView xWindow="27350" yWindow="4020" windowWidth="28800" windowHeight="1547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4" i="1"/>
  <c r="K2" i="1"/>
  <c r="P1" i="1"/>
  <c r="H5" i="1"/>
  <c r="H2" i="1"/>
  <c r="H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<sst xmlns="http://schemas.openxmlformats.org/spreadsheetml/2006/main" count="32" uniqueCount="25">
  <si>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</si>
  <si>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</si>
  <si>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</si>
  <si>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</si>
  <si>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</si>
  <si>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</si>
  <si>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</si>
  <si>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</si>
  <si>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</si>
  <si>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</si>
  <si>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</si>
  <si>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FID ASIA AGGR AC EUR</t>
  </si>
  <si>
    <t>H2O MULTIBONDS R EUR</t>
  </si>
  <si>
    <t>MEDIOBANCA AB N</t>
  </si>
  <si>
    <t>LU0345361124</t>
  </si>
  <si>
    <t>FR0013393329</t>
  </si>
  <si>
    <t>IT0005630253</t>
  </si>
  <si>
    <t>IE000UL6CLP7</t>
  </si>
  <si>
    <t>GLB X SILV USD-A EUR</t>
  </si>
  <si>
    <t>Controvalore (EUR)</t>
  </si>
  <si>
    <t>Fondo Azionario</t>
  </si>
  <si>
    <t>ETF azionario</t>
  </si>
  <si>
    <t>Fondo Obbligazionario</t>
  </si>
  <si>
    <t>Tipologia</t>
  </si>
  <si>
    <t>Controvalore Totale: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</si>
</sst>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vertical="center"/>
    </xf>
    <xf numFmtId="4" fontId="0" fillId="0" borderId="1" xfId="0" applyNumberFormat="1" applyBorder="1"/>
    <xf numFmtId="4" fontId="0" fillId="0" borderId="0" xfId="0" applyNumberFormat="1"/>
    <xf numFmtId="8" fontId="5" fillId="4" borderId="5" xfId="0" applyNumberFormat="1" applyFont="1" applyFill="1" applyBorder="1"/>
    <xf numFmtId="0" fontId="6" fillId="0" borderId="0" xfId="0" applyFont="1"/>
    <xf numFmtId="0" fontId="7" fillId="0" borderId="1" xfId="0" applyFont="1" applyBorder="1"/>
  </cellXfs>
  <cellStyles count="1">
    <cellStyle name="Normal" xfId="0" builtinId="0"/>
  </cellStyles>
  <dxfs count="30"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K5" totalsRowShown="0" headerRowDxfId="29" dataDxfId="28" tableBorderDxfId="27">
  <autoFilter ref="A1:K5" xr:uid="{04F4BF02-F5A0-427F-92C4-A60283CF04F1}"/>
  <sortState xmlns:xlrd2="http://schemas.microsoft.com/office/spreadsheetml/2017/richdata2" ref="A2:K5">
    <sortCondition ref="F1:F5"/>
  </sortState>
  <tableColumns count="11">
    <tableColumn id="1" xr3:uid="{B8061C36-8993-4203-ABD6-C7BF7558D40C}" name="Descrizione Titolo" dataDxfId="26"/>
    <tableColumn id="2" xr3:uid="{C4CDF0AD-2602-44A7-AA26-292542A274A0}" name="ISIN" dataDxfId="25"/>
    <tableColumn id="3" xr3:uid="{0A18EC50-C250-41F4-83C1-E84B3FDD76A5}" name="Quantità" dataDxfId="24"/>
    <tableColumn id="4" xr3:uid="{F21CA34D-52E3-4C7A-A959-24C01F694687}" name="Divisa" dataDxfId="23"/>
    <tableColumn id="5" xr3:uid="{5C9AD5B2-888B-43C8-AC2C-1789ADAB0AD8}" name="Prezzo Carico (EUR)" dataDxfId="22"/>
    <tableColumn id="6" xr3:uid="{1CC3BD49-EF04-4684-84DC-5AB42F08A1CD}" name="Data (acquisto/vendita)" dataDxfId="21"/>
    <tableColumn id="7" xr3:uid="{0B72A75D-196B-42C0-9E49-163198DF8CDB}" name="Operazione" dataDxfId="20"/>
    <tableColumn id="8" xr3:uid="{8C52C664-8EA8-4E89-892F-C9CCC6BB2E54}" name="Prezzo Operazione (EUR)" dataDxfId="19">
      <calculatedColumnFormula>+Table1[[#This Row],[Prezzo Carico (EUR)]]</calculatedColumnFormula>
    </tableColumn>
    <tableColumn id="9" xr3:uid="{20AB3F10-3CEF-4BB7-ACA8-F58F613D5EBF}" name="Prezzo Corrente (EUR)" dataDxfId="18"/>
    <tableColumn id="11" xr3:uid="{8B0704F8-8C2E-42BE-A30C-03EF7C2730A1}" name="Tipologia" dataDxfId="17"/>
    <tableColumn id="10" xr3:uid="{7F8241B6-2FCB-4564-8F24-4D4146A82E8B}" name="Controvalore (EUR)" dataDxfId="16">
      <calculatedColumnFormula>+Table1[[#This Row],[Quantità]]*Table1[[#This Row],[Prezzo Carico (EUR)]]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P22"/>
  <sheetViews>
    <sheetView showGridLines="0" tabSelected="1" zoomScale="85" zoomScaleNormal="85" workbookViewId="0">
      <selection activeCell="H3" sqref="H3"/>
    </sheetView>
  </sheetViews>
  <sheetFormatPr defaultRowHeight="14.5" x14ac:dyDescent="0.35"/>
  <cols>
    <col min="1" max="1" width="24.54296875" customWidth="1"/>
    <col min="2" max="2" width="13.453125" customWidth="1"/>
    <col min="3" max="3" width="10.08984375" customWidth="1"/>
    <col min="4" max="4" width="9" customWidth="1"/>
    <col min="5" max="5" width="7.6328125" customWidth="1"/>
    <col min="6" max="6" width="12.81640625" customWidth="1"/>
    <col min="7" max="7" width="11.08984375" customWidth="1"/>
    <col min="8" max="8" width="7.54296875" customWidth="1"/>
    <col min="9" max="9" width="5.36328125" customWidth="1"/>
    <col min="10" max="10" width="24.54296875" customWidth="1"/>
    <col min="11" max="11" width="21.26953125" bestFit="1" customWidth="1"/>
    <col min="14" max="14" width="6.7265625" bestFit="1" customWidth="1"/>
    <col min="15" max="15" width="17.36328125" bestFit="1" customWidth="1"/>
    <col min="16" max="16" width="11.1796875" bestFit="1" customWidth="1"/>
    <col min="17" max="17" width="10.7265625" bestFit="1" customWidth="1"/>
    <col min="19" max="19" width="7.54296875" bestFit="1" customWidth="1"/>
  </cols>
  <sheetData>
    <row r="1" spans="1:16" ht="1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9</v>
      </c>
      <c r="I1" s="7" t="s">
        <v>8</v>
      </c>
      <c r="J1" s="7" t="s">
        <v>23</v>
      </c>
      <c r="K1" s="11" t="s">
        <v>19</v>
      </c>
      <c r="O1" s="16" t="s">
        <v>24</v>
      </c>
      <c r="P1" s="15">
        <f>SUM(Table1[Controvalore (EUR)])</f>
        <v>143648.97952299999</v>
      </c>
    </row>
    <row r="2" spans="1:16" x14ac:dyDescent="0.35">
      <c r="A2" s="8" t="s">
        <v>11</v>
      </c>
      <c r="B2" s="8" t="s">
        <v>14</v>
      </c>
      <c r="C2" s="13">
        <v>786.29</v>
      </c>
      <c r="D2" s="9" t="s">
        <v>7</v>
      </c>
      <c r="E2" s="13">
        <v>28.88</v>
      </c>
      <c r="F2" s="10">
        <v>45355</v>
      </c>
      <c r="G2" s="2" t="s">
        <v>10</v>
      </c>
      <c r="H2" s="13">
        <f>+Table1[[#This Row],[Prezzo Carico (EUR)]]</f>
        <v>28.88</v>
      </c>
      <c r="I2" s="13"/>
      <c r="J2" s="12" t="s">
        <v>20</v>
      </c>
      <c r="K2" s="14">
        <f>+Table1[[#This Row],[Quantità]]*Table1[[#This Row],[Prezzo Carico (EUR)]]</f>
        <v>22708.055199999999</v>
      </c>
    </row>
    <row r="3" spans="1:16" x14ac:dyDescent="0.35">
      <c r="A3" s="8" t="s">
        <v>12</v>
      </c>
      <c r="B3" s="8" t="s">
        <v>15</v>
      </c>
      <c r="C3" s="13">
        <v>808.88599999999997</v>
      </c>
      <c r="D3" s="9" t="s">
        <v>7</v>
      </c>
      <c r="E3" s="13">
        <v>117.33</v>
      </c>
      <c r="F3" s="10">
        <v>45355</v>
      </c>
      <c r="G3" s="2" t="s">
        <v>10</v>
      </c>
      <c r="H3" s="13">
        <f>+Table1[[#This Row],[Prezzo Carico (EUR)]]</f>
        <v>117.33</v>
      </c>
      <c r="I3" s="13"/>
      <c r="J3" s="12" t="s">
        <v>22</v>
      </c>
      <c r="K3" s="14">
        <f>+Table1[[#This Row],[Quantità]]*Table1[[#This Row],[Prezzo Carico (EUR)]]</f>
        <v>94906.594379999995</v>
      </c>
    </row>
    <row r="4" spans="1:16" x14ac:dyDescent="0.35">
      <c r="A4" s="17" t="s">
        <v>13</v>
      </c>
      <c r="B4" s="8" t="s">
        <v>16</v>
      </c>
      <c r="C4" s="13">
        <v>3198</v>
      </c>
      <c r="D4" s="9" t="s">
        <v>7</v>
      </c>
      <c r="E4" s="13">
        <v>5</v>
      </c>
      <c r="F4" s="10">
        <v>45702</v>
      </c>
      <c r="G4" s="2" t="s">
        <v>10</v>
      </c>
      <c r="H4" s="13">
        <f>+Table1[[#This Row],[Prezzo Carico (EUR)]]</f>
        <v>5</v>
      </c>
      <c r="I4" s="13"/>
      <c r="J4" s="12" t="s">
        <v>20</v>
      </c>
      <c r="K4" s="14">
        <f>+Table1[[#This Row],[Quantità]]*Table1[[#This Row],[Prezzo Carico (EUR)]]</f>
        <v>15990</v>
      </c>
    </row>
    <row r="5" spans="1:16" x14ac:dyDescent="0.35">
      <c r="A5" s="8" t="s">
        <v>18</v>
      </c>
      <c r="B5" s="8" t="s">
        <v>17</v>
      </c>
      <c r="C5" s="13">
        <v>237</v>
      </c>
      <c r="D5" s="9" t="s">
        <v>7</v>
      </c>
      <c r="E5" s="13">
        <v>42.381138999999997</v>
      </c>
      <c r="F5" s="10">
        <v>46044</v>
      </c>
      <c r="G5" s="2" t="s">
        <v>10</v>
      </c>
      <c r="H5" s="13">
        <f>+Table1[[#This Row],[Prezzo Carico (EUR)]]</f>
        <v>42.381138999999997</v>
      </c>
      <c r="I5" s="13"/>
      <c r="J5" s="12" t="s">
        <v>21</v>
      </c>
      <c r="K5" s="14">
        <f>+Table1[[#This Row],[Quantità]]*Table1[[#This Row],[Prezzo Carico (EUR)]]</f>
        <v>10044.329942999999</v>
      </c>
    </row>
    <row r="19" spans="15:15" x14ac:dyDescent="0.35">
      <c r="O19" s="1"/>
    </row>
    <row r="21" spans="15:15" x14ac:dyDescent="0.35">
      <c r="O21" s="1"/>
    </row>
    <row r="22" spans="15:15" x14ac:dyDescent="0.35">
      <c r="O22" s="1"/>
    </row>
  </sheetData>
  <conditionalFormatting sqref="A2:A5">
    <cfRule type="expression" dxfId="15" priority="33" stopIfTrue="1">
      <formula>IF(AND(ISNUMBER(SEARCH("H2O", A2)), ISNUMBER(SEARCH("SP", A2))), 1,0)</formula>
    </cfRule>
  </conditionalFormatting>
  <conditionalFormatting sqref="C2:C5">
    <cfRule type="containsBlanks" dxfId="14" priority="30">
      <formula>LEN(TRIM(C2))=0</formula>
    </cfRule>
  </conditionalFormatting>
  <conditionalFormatting sqref="D2:D5">
    <cfRule type="notContainsText" dxfId="13" priority="34" stopIfTrue="1" operator="notContains" text="EUR">
      <formula>ISERROR(SEARCH("EUR",D2))</formula>
    </cfRule>
    <cfRule type="containsBlanks" dxfId="12" priority="34">
      <formula>LEN(TRIM(D2))=0</formula>
    </cfRule>
  </conditionalFormatting>
  <conditionalFormatting sqref="G2:G5">
    <cfRule type="containsText" dxfId="11" priority="17" operator="containsText" text="Vendita">
      <formula>NOT(ISERROR(SEARCH("Vendita",G2)))</formula>
    </cfRule>
    <cfRule type="containsText" dxfId="10" priority="18" operator="containsText" text="Acquisto">
      <formula>NOT(ISERROR(SEARCH("Acquisto",G2)))</formula>
    </cfRule>
  </conditionalFormatting>
  <conditionalFormatting sqref="J2:J5">
    <cfRule type="containsText" dxfId="9" priority="1" operator="containsText" text="NEW">
      <formula>NOT(ISERROR(SEARCH("NEW",J2)))</formula>
    </cfRule>
    <cfRule type="containsText" dxfId="8" priority="2" operator="containsText" text="Multi-Asset">
      <formula>NOT(ISERROR(SEARCH("Multi-Asset",J2)))</formula>
    </cfRule>
    <cfRule type="containsText" dxfId="7" priority="3" operator="containsText" text="Altro">
      <formula>NOT(ISERROR(SEARCH("Altro",J2)))</formula>
    </cfRule>
    <cfRule type="containsText" dxfId="6" priority="4" operator="containsText" text="Obbligazionario">
      <formula>NOT(ISERROR(SEARCH("Obbligazionario",J2)))</formula>
    </cfRule>
    <cfRule type="containsText" dxfId="5" priority="5" operator="containsText" text="Obblig.">
      <formula>NOT(ISERROR(SEARCH("Obblig.",J2)))</formula>
    </cfRule>
    <cfRule type="containsText" dxfId="4" priority="6" operator="containsText" text="ETF">
      <formula>NOT(ISERROR(SEARCH("ETF",J2)))</formula>
    </cfRule>
    <cfRule type="containsText" dxfId="3" priority="7" operator="containsText" text="Azionario">
      <formula>NOT(ISERROR(SEARCH("Azionario",J2)))</formula>
    </cfRule>
    <cfRule type="containsText" dxfId="2" priority="8" operator="containsText" text="Liquidità">
      <formula>NOT(ISERROR(SEARCH("Liquidità",J2)))</formula>
    </cfRule>
    <cfRule type="containsText" dxfId="1" priority="9" operator="containsText" text="Bilanciato">
      <formula>NOT(ISERROR(SEARCH("Bilanciato",J2)))</formula>
    </cfRule>
    <cfRule type="containsText" dxfId="0" priority="10" operator="containsText" text="Certif">
      <formula>NOT(ISERROR(SEARCH("Certif",J2)))</formula>
    </cfRule>
  </conditionalFormatting>
  <dataValidations count="1">
    <dataValidation type="list" allowBlank="1" showInputMessage="1" showErrorMessage="1" sqref="G2:G5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2026-01-31T18:41:58Z</dcterms:modified>
</cp:coreProperties>
</file>