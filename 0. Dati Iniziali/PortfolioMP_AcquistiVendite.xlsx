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"/>
    </mc:Choice>
  </mc:AlternateContent>
  <xr:revisionPtr revIDLastSave="0" documentId="8_{11AD83C6-9D4B-453A-B0CF-2800A9878920}" xr6:coauthVersionLast="47" xr6:coauthVersionMax="47" xr10:uidLastSave="{00000000-0000-0000-0000-000000000000}"/>
  <bookViews>
    <workbookView xWindow="-110" yWindow="490" windowWidth="38620" windowHeight="21220" xr2:uid="{461EA0C3-CC98-4DCD-BC5C-C997A9959903}"/>
  </bookViews>
  <sheets>
    <sheet name="Sheet1" sheetId="1" r:id="rId1"/>
  </sheets>
  <externalReferences>
    <externalReference r:id="rId2"/>
  </externalReferences>
  <definedNames>
    <definedName name="LabTipoEventi">[1]!TipoEventi[Eventi]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I24" i="1"/>
  <c r="H25" i="1"/>
  <c r="I25" i="1"/>
  <c r="H26" i="1"/>
  <c r="I26" i="1"/>
  <c r="H22" i="1"/>
  <c r="I22" i="1" s="1"/>
  <c r="H23" i="1"/>
  <c r="I23" i="1"/>
  <c r="H21" i="1"/>
  <c r="I21" i="1" s="1"/>
  <c r="H20" i="1"/>
  <c r="I20" i="1"/>
  <c r="H2" i="1"/>
  <c r="I2" i="1" s="1"/>
  <c r="H3" i="1"/>
  <c r="I3" i="1" s="1"/>
  <c r="H4" i="1"/>
  <c r="I4" i="1" s="1"/>
  <c r="H5" i="1"/>
  <c r="I5" i="1" s="1"/>
  <c r="H6" i="1"/>
  <c r="I6" i="1" s="1"/>
  <c r="H7" i="1"/>
  <c r="I7" i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 Periccioli</author>
  </authors>
  <commentList>
    <comment ref="E1" authorId="0" shapeId="0" xr:uid="{7783A90E-7FBD-4BD0-909A-B9C6CF3DE99A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<sst xmlns="http://schemas.openxmlformats.org/spreadsheetml/2006/main" count="109" uniqueCount="57">
  <si>
    <t>Descrizione Titolo</t>
  </si>
  <si>
    <t>ISIN</t>
  </si>
  <si>
    <t>Quantità</t>
  </si>
  <si>
    <t>Divisa</t>
  </si>
  <si>
    <t>Prezzo Carico (EUR)</t>
  </si>
  <si>
    <t>Data (acquisto/vendita)</t>
  </si>
  <si>
    <t>Operazione</t>
  </si>
  <si>
    <t>EUR</t>
  </si>
  <si>
    <t>Prezzo Corrente (EUR)</t>
  </si>
  <si>
    <t>Prezzo Operazione (EUR)</t>
  </si>
  <si>
    <t>Acquisto</t>
  </si>
  <si>
    <t>BTP FEBBR 26 0.5%</t>
  </si>
  <si>
    <t>BTP01.03.22-01.04.27</t>
  </si>
  <si>
    <t>FID ASIA AGGR AC EUR</t>
  </si>
  <si>
    <t>H2O MULTIBONDS R EUR</t>
  </si>
  <si>
    <t>H2O MULTISTRATEGIES</t>
  </si>
  <si>
    <t>FID GLO QLTY USD EUR</t>
  </si>
  <si>
    <t>ISHS MSCI WORLD EUR</t>
  </si>
  <si>
    <t>M&amp;G EUROP STRA VAL A</t>
  </si>
  <si>
    <t>MEDIOBANCA AB N</t>
  </si>
  <si>
    <t>MSIF GL BRDS AC</t>
  </si>
  <si>
    <t>MSIF GL OPP AC</t>
  </si>
  <si>
    <t>N1 CLIM ENV EQ B EUR</t>
  </si>
  <si>
    <t>N1 EUR BANK D BP EUR</t>
  </si>
  <si>
    <t>Nordea 1 - Alpha 15 Ma Fund Bp Eur</t>
  </si>
  <si>
    <t>SISF ASIAN OP AC EUR</t>
  </si>
  <si>
    <t>XTRACKERS INFORM EUR</t>
  </si>
  <si>
    <t>AMUNDI ELTIF PIR AP</t>
  </si>
  <si>
    <t>BTP 2025/02/01 0,35%</t>
  </si>
  <si>
    <t>IT0005419848</t>
  </si>
  <si>
    <t>IT0005484552</t>
  </si>
  <si>
    <t>LU0345361124</t>
  </si>
  <si>
    <t>FR0013393329</t>
  </si>
  <si>
    <t>FR0010923383</t>
  </si>
  <si>
    <t>IE00BYXVGZ48</t>
  </si>
  <si>
    <t>IE00B4L5Y983</t>
  </si>
  <si>
    <t>LU1670707527</t>
  </si>
  <si>
    <t>IT0005630253</t>
  </si>
  <si>
    <t>LU0119620416</t>
  </si>
  <si>
    <t>LU0552385295</t>
  </si>
  <si>
    <t>LU0348926287</t>
  </si>
  <si>
    <t>LU0772944145</t>
  </si>
  <si>
    <t>LU0607983896</t>
  </si>
  <si>
    <t>LU0248184466</t>
  </si>
  <si>
    <t>IE00BM67HT60</t>
  </si>
  <si>
    <t>LU2906336990</t>
  </si>
  <si>
    <t>IT0005386245</t>
  </si>
  <si>
    <t>USD</t>
  </si>
  <si>
    <t>XS3174997521</t>
  </si>
  <si>
    <t>IE000UL6CLP7</t>
  </si>
  <si>
    <t>DE000VJ0K5X0</t>
  </si>
  <si>
    <t>DE000VJ20861</t>
  </si>
  <si>
    <t>BSKT/BNPI 28</t>
  </si>
  <si>
    <t>GLB X SILV USD-A EUR</t>
  </si>
  <si>
    <t>VON EXPE28</t>
  </si>
  <si>
    <t>VON EXPE29</t>
  </si>
  <si>
    <t>Vendita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</si>
</sst>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0.00;;\-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2" fontId="0" fillId="0" borderId="0" xfId="0" applyNumberFormat="1"/>
    <xf numFmtId="2" fontId="0" fillId="0" borderId="1" xfId="0" applyNumberFormat="1" applyBorder="1"/>
    <xf numFmtId="0" fontId="0" fillId="0" borderId="1" xfId="0" applyBorder="1" applyAlignment="1">
      <alignment horizontal="center"/>
    </xf>
    <xf numFmtId="8" fontId="0" fillId="0" borderId="1" xfId="0" applyNumberFormat="1" applyBorder="1"/>
    <xf numFmtId="0" fontId="1" fillId="3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2" fontId="0" fillId="2" borderId="1" xfId="0" applyNumberFormat="1" applyFill="1" applyBorder="1"/>
    <xf numFmtId="0" fontId="0" fillId="0" borderId="5" xfId="0" applyBorder="1"/>
    <xf numFmtId="2" fontId="0" fillId="0" borderId="5" xfId="0" applyNumberFormat="1" applyBorder="1"/>
    <xf numFmtId="164" fontId="0" fillId="0" borderId="5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8" fontId="0" fillId="0" borderId="5" xfId="0" applyNumberFormat="1" applyBorder="1"/>
  </cellXfs>
  <cellStyles count="1">
    <cellStyle name="Normal" xfId="0" builtinId="0"/>
  </cellStyles>
  <dxfs count="20"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numFmt numFmtId="12" formatCode="#,##0.00\ &quot;€&quot;;[Red]\-#,##0.00\ &quot;€&quot;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2" formatCode="#,##0.00\ &quot;€&quot;;[Red]\-#,##0.00\ &quot;€&quot;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#,##0.00;;\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R:\01.%20Mauro\01.%20Personal%20Data\07.%20Finanza\01.1%20Banca\2.1%20Mediobanca%20MP\0.%20Dashboard%20Portafoglio%20-%2072531340%20(MP).xlsm" TargetMode="External"/><Relationship Id="rId1" Type="http://schemas.openxmlformats.org/officeDocument/2006/relationships/externalLinkPath" Target="file:///R:\01.%20Mauro\01.%20Personal%20Data\07.%20Finanza\01.1%20Banca\2.1%20Mediobanca%20MP\0.%20Dashboard%20Portafoglio%20-%2072531340%20(MP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rtafoglio"/>
      <sheetName val="Dashboard"/>
      <sheetName val="History_Totals"/>
      <sheetName val="History_ISIN"/>
      <sheetName val="AllFlux"/>
      <sheetName val="Inflation"/>
      <sheetName val="Minus"/>
      <sheetName val="0002"/>
      <sheetName val="0003"/>
      <sheetName val="0004"/>
      <sheetName val="0005"/>
      <sheetName val="0006"/>
      <sheetName val="0007"/>
      <sheetName val="0016"/>
      <sheetName val="0008"/>
      <sheetName val="0009"/>
      <sheetName val="0010"/>
      <sheetName val="0011"/>
      <sheetName val="0012"/>
      <sheetName val="0013"/>
      <sheetName val="0015"/>
      <sheetName val="0017"/>
      <sheetName val="0014"/>
      <sheetName val="0018"/>
      <sheetName val="9999"/>
      <sheetName val="0001"/>
      <sheetName val="Simul1"/>
      <sheetName val="Simul1 1.1"/>
      <sheetName val="Simul2"/>
      <sheetName val="Costant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F4BF02-F5A0-427F-92C4-A60283CF04F1}" name="Table1" displayName="Table1" ref="A1:I26" totalsRowShown="0" headerRowDxfId="19" dataDxfId="18" tableBorderDxfId="17">
  <autoFilter ref="A1:I26" xr:uid="{04F4BF02-F5A0-427F-92C4-A60283CF04F1}"/>
  <tableColumns count="9">
    <tableColumn id="1" xr3:uid="{B8061C36-8993-4203-ABD6-C7BF7558D40C}" name="Descrizione Titolo" dataDxfId="16"/>
    <tableColumn id="2" xr3:uid="{C4CDF0AD-2602-44A7-AA26-292542A274A0}" name="ISIN" dataDxfId="15"/>
    <tableColumn id="3" xr3:uid="{0A18EC50-C250-41F4-83C1-E84B3FDD76A5}" name="Quantità" dataDxfId="14"/>
    <tableColumn id="4" xr3:uid="{F21CA34D-52E3-4C7A-A959-24C01F694687}" name="Divisa" dataDxfId="13"/>
    <tableColumn id="5" xr3:uid="{5C9AD5B2-888B-43C8-AC2C-1789ADAB0AD8}" name="Prezzo Carico (EUR)" dataDxfId="12"/>
    <tableColumn id="6" xr3:uid="{1CC3BD49-EF04-4684-84DC-5AB42F08A1CD}" name="Data (acquisto/vendita)" dataDxfId="11"/>
    <tableColumn id="7" xr3:uid="{0B72A75D-196B-42C0-9E49-163198DF8CDB}" name="Operazione" dataDxfId="10"/>
    <tableColumn id="8" xr3:uid="{8C52C664-8EA8-4E89-892F-C9CCC6BB2E54}" name="Prezzo Operazione (EUR)" dataDxfId="9">
      <calculatedColumnFormula>+Table1[[#This Row],[Prezzo Carico (EUR)]]</calculatedColumnFormula>
    </tableColumn>
    <tableColumn id="9" xr3:uid="{20AB3F10-3CEF-4BB7-ACA8-F58F613D5EBF}" name="Prezzo Corrente (EUR)" dataDxfId="8">
      <calculatedColumnFormula>+Table1[[#This Row],[Prezzo Operazione (EUR)]]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Q26"/>
  <sheetViews>
    <sheetView showGridLines="0" tabSelected="1" workbookViewId="0">
      <selection activeCell="A24" sqref="A24:XFD26"/>
    </sheetView>
  </sheetViews>
  <sheetFormatPr defaultRowHeight="14.5" x14ac:dyDescent="0.35"/>
  <cols>
    <col min="1" max="1" width="29.453125" bestFit="1" customWidth="1"/>
    <col min="2" max="2" width="19.453125" customWidth="1"/>
    <col min="3" max="3" width="13" customWidth="1"/>
    <col min="4" max="4" width="17.6328125" customWidth="1"/>
    <col min="5" max="5" width="19.08984375" customWidth="1"/>
    <col min="6" max="6" width="22.6328125" customWidth="1"/>
    <col min="7" max="7" width="16.54296875" customWidth="1"/>
    <col min="8" max="8" width="23.08984375" customWidth="1"/>
    <col min="9" max="9" width="21.90625" customWidth="1"/>
    <col min="15" max="15" width="13.08984375" bestFit="1" customWidth="1"/>
  </cols>
  <sheetData>
    <row r="1" spans="1:9" x14ac:dyDescent="0.3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8" t="s">
        <v>5</v>
      </c>
      <c r="G1" s="8" t="s">
        <v>6</v>
      </c>
      <c r="H1" s="8" t="s">
        <v>9</v>
      </c>
      <c r="I1" s="9" t="s">
        <v>8</v>
      </c>
    </row>
    <row r="2" spans="1:9" x14ac:dyDescent="0.35">
      <c r="A2" s="10" t="s">
        <v>11</v>
      </c>
      <c r="B2" s="10" t="s">
        <v>29</v>
      </c>
      <c r="C2" s="2">
        <v>200</v>
      </c>
      <c r="D2" s="11" t="s">
        <v>7</v>
      </c>
      <c r="E2" s="13">
        <v>91.314800000000005</v>
      </c>
      <c r="F2" s="12">
        <v>45002</v>
      </c>
      <c r="G2" s="3" t="s">
        <v>10</v>
      </c>
      <c r="H2" s="4">
        <f>+Table1[[#This Row],[Prezzo Carico (EUR)]]</f>
        <v>91.314800000000005</v>
      </c>
      <c r="I2" s="4">
        <f>+Table1[[#This Row],[Prezzo Operazione (EUR)]]</f>
        <v>91.314800000000005</v>
      </c>
    </row>
    <row r="3" spans="1:9" x14ac:dyDescent="0.35">
      <c r="A3" s="10" t="s">
        <v>12</v>
      </c>
      <c r="B3" s="10" t="s">
        <v>30</v>
      </c>
      <c r="C3" s="2">
        <v>250</v>
      </c>
      <c r="D3" s="11" t="s">
        <v>7</v>
      </c>
      <c r="E3" s="13">
        <v>90.38</v>
      </c>
      <c r="F3" s="12">
        <v>45002</v>
      </c>
      <c r="G3" s="3" t="s">
        <v>10</v>
      </c>
      <c r="H3" s="4">
        <f>+Table1[[#This Row],[Prezzo Carico (EUR)]]</f>
        <v>90.38</v>
      </c>
      <c r="I3" s="4">
        <f>+Table1[[#This Row],[Prezzo Operazione (EUR)]]</f>
        <v>90.38</v>
      </c>
    </row>
    <row r="4" spans="1:9" x14ac:dyDescent="0.35">
      <c r="A4" s="10" t="s">
        <v>13</v>
      </c>
      <c r="B4" s="10" t="s">
        <v>31</v>
      </c>
      <c r="C4" s="2">
        <v>786.29</v>
      </c>
      <c r="D4" s="11" t="s">
        <v>7</v>
      </c>
      <c r="E4" s="2">
        <v>28.88</v>
      </c>
      <c r="F4" s="12">
        <v>45355</v>
      </c>
      <c r="G4" s="3" t="s">
        <v>10</v>
      </c>
      <c r="H4" s="4">
        <f>+Table1[[#This Row],[Prezzo Carico (EUR)]]</f>
        <v>28.88</v>
      </c>
      <c r="I4" s="4">
        <f>+Table1[[#This Row],[Prezzo Operazione (EUR)]]</f>
        <v>28.88</v>
      </c>
    </row>
    <row r="5" spans="1:9" x14ac:dyDescent="0.35">
      <c r="A5" s="10" t="s">
        <v>14</v>
      </c>
      <c r="B5" s="10" t="s">
        <v>32</v>
      </c>
      <c r="C5" s="2">
        <v>808.88599999999997</v>
      </c>
      <c r="D5" s="11" t="s">
        <v>7</v>
      </c>
      <c r="E5" s="2">
        <v>808.88599999999997</v>
      </c>
      <c r="F5" s="12">
        <v>45355</v>
      </c>
      <c r="G5" s="3" t="s">
        <v>10</v>
      </c>
      <c r="H5" s="4">
        <f>+Table1[[#This Row],[Prezzo Carico (EUR)]]</f>
        <v>808.88599999999997</v>
      </c>
      <c r="I5" s="4">
        <f>+Table1[[#This Row],[Prezzo Operazione (EUR)]]</f>
        <v>808.88599999999997</v>
      </c>
    </row>
    <row r="6" spans="1:9" x14ac:dyDescent="0.35">
      <c r="A6" s="10" t="s">
        <v>15</v>
      </c>
      <c r="B6" s="10" t="s">
        <v>33</v>
      </c>
      <c r="C6" s="2">
        <v>255.42699999999999</v>
      </c>
      <c r="D6" s="11" t="s">
        <v>7</v>
      </c>
      <c r="E6" s="2">
        <v>242.5</v>
      </c>
      <c r="F6" s="12">
        <v>45355</v>
      </c>
      <c r="G6" s="3" t="s">
        <v>10</v>
      </c>
      <c r="H6" s="4">
        <f>+Table1[[#This Row],[Prezzo Carico (EUR)]]</f>
        <v>242.5</v>
      </c>
      <c r="I6" s="4">
        <f>+Table1[[#This Row],[Prezzo Operazione (EUR)]]</f>
        <v>242.5</v>
      </c>
    </row>
    <row r="7" spans="1:9" x14ac:dyDescent="0.35">
      <c r="A7" s="10" t="s">
        <v>16</v>
      </c>
      <c r="B7" s="10" t="s">
        <v>34</v>
      </c>
      <c r="C7" s="2">
        <v>570</v>
      </c>
      <c r="D7" s="11" t="s">
        <v>7</v>
      </c>
      <c r="E7" s="13">
        <v>8.8187540000000002</v>
      </c>
      <c r="F7" s="12">
        <v>45702</v>
      </c>
      <c r="G7" s="3" t="s">
        <v>10</v>
      </c>
      <c r="H7" s="4">
        <f>+Table1[[#This Row],[Prezzo Carico (EUR)]]</f>
        <v>8.8187540000000002</v>
      </c>
      <c r="I7" s="4">
        <f>+Table1[[#This Row],[Prezzo Operazione (EUR)]]</f>
        <v>8.8187540000000002</v>
      </c>
    </row>
    <row r="8" spans="1:9" x14ac:dyDescent="0.35">
      <c r="A8" s="10" t="s">
        <v>17</v>
      </c>
      <c r="B8" s="10" t="s">
        <v>35</v>
      </c>
      <c r="C8" s="2">
        <v>47</v>
      </c>
      <c r="D8" s="11" t="s">
        <v>7</v>
      </c>
      <c r="E8" s="2">
        <v>108.097021</v>
      </c>
      <c r="F8" s="12">
        <v>45705</v>
      </c>
      <c r="G8" s="3" t="s">
        <v>10</v>
      </c>
      <c r="H8" s="4">
        <f>+Table1[[#This Row],[Prezzo Carico (EUR)]]</f>
        <v>108.097021</v>
      </c>
      <c r="I8" s="4">
        <f>+Table1[[#This Row],[Prezzo Operazione (EUR)]]</f>
        <v>108.097021</v>
      </c>
    </row>
    <row r="9" spans="1:9" x14ac:dyDescent="0.35">
      <c r="A9" s="10" t="s">
        <v>18</v>
      </c>
      <c r="B9" s="10" t="s">
        <v>36</v>
      </c>
      <c r="C9" s="2">
        <v>945.54899999999998</v>
      </c>
      <c r="D9" s="11" t="s">
        <v>7</v>
      </c>
      <c r="E9" s="2">
        <v>16.910799999999998</v>
      </c>
      <c r="F9" s="12">
        <v>45702</v>
      </c>
      <c r="G9" s="3" t="s">
        <v>10</v>
      </c>
      <c r="H9" s="4">
        <f>+Table1[[#This Row],[Prezzo Carico (EUR)]]</f>
        <v>16.910799999999998</v>
      </c>
      <c r="I9" s="4">
        <f>+Table1[[#This Row],[Prezzo Operazione (EUR)]]</f>
        <v>16.910799999999998</v>
      </c>
    </row>
    <row r="10" spans="1:9" x14ac:dyDescent="0.35">
      <c r="A10" s="10" t="s">
        <v>19</v>
      </c>
      <c r="B10" s="10" t="s">
        <v>37</v>
      </c>
      <c r="C10" s="2">
        <v>3198</v>
      </c>
      <c r="D10" s="11" t="s">
        <v>7</v>
      </c>
      <c r="E10" s="2">
        <v>5</v>
      </c>
      <c r="F10" s="12">
        <v>45702</v>
      </c>
      <c r="G10" s="3" t="s">
        <v>10</v>
      </c>
      <c r="H10" s="4">
        <f>+Table1[[#This Row],[Prezzo Carico (EUR)]]</f>
        <v>5</v>
      </c>
      <c r="I10" s="4">
        <f>+Table1[[#This Row],[Prezzo Operazione (EUR)]]</f>
        <v>5</v>
      </c>
    </row>
    <row r="11" spans="1:9" x14ac:dyDescent="0.35">
      <c r="A11" s="10" t="s">
        <v>20</v>
      </c>
      <c r="B11" s="10" t="s">
        <v>38</v>
      </c>
      <c r="C11" s="2">
        <v>104.37</v>
      </c>
      <c r="D11" s="11" t="s">
        <v>47</v>
      </c>
      <c r="E11" s="2">
        <v>198.97</v>
      </c>
      <c r="F11" s="12">
        <v>45355</v>
      </c>
      <c r="G11" s="3" t="s">
        <v>10</v>
      </c>
      <c r="H11" s="4">
        <f>+Table1[[#This Row],[Prezzo Carico (EUR)]]</f>
        <v>198.97</v>
      </c>
      <c r="I11" s="4">
        <f>+Table1[[#This Row],[Prezzo Operazione (EUR)]]</f>
        <v>198.97</v>
      </c>
    </row>
    <row r="12" spans="1:9" x14ac:dyDescent="0.35">
      <c r="A12" s="10" t="s">
        <v>21</v>
      </c>
      <c r="B12" s="10" t="s">
        <v>39</v>
      </c>
      <c r="C12" s="2">
        <v>207.953</v>
      </c>
      <c r="D12" s="11" t="s">
        <v>47</v>
      </c>
      <c r="E12" s="2">
        <v>117.95</v>
      </c>
      <c r="F12" s="12">
        <v>45355</v>
      </c>
      <c r="G12" s="3" t="s">
        <v>10</v>
      </c>
      <c r="H12" s="4">
        <f>+Table1[[#This Row],[Prezzo Carico (EUR)]]</f>
        <v>117.95</v>
      </c>
      <c r="I12" s="4">
        <f>+Table1[[#This Row],[Prezzo Operazione (EUR)]]</f>
        <v>117.95</v>
      </c>
    </row>
    <row r="13" spans="1:9" x14ac:dyDescent="0.35">
      <c r="A13" s="10" t="s">
        <v>22</v>
      </c>
      <c r="B13" s="10" t="s">
        <v>40</v>
      </c>
      <c r="C13" s="2">
        <v>448.18400000000003</v>
      </c>
      <c r="D13" s="11" t="s">
        <v>7</v>
      </c>
      <c r="E13" s="2">
        <v>32.000999999999998</v>
      </c>
      <c r="F13" s="12">
        <v>45355</v>
      </c>
      <c r="G13" s="3" t="s">
        <v>10</v>
      </c>
      <c r="H13" s="4">
        <f>+Table1[[#This Row],[Prezzo Carico (EUR)]]</f>
        <v>32.000999999999998</v>
      </c>
      <c r="I13" s="4">
        <f>+Table1[[#This Row],[Prezzo Operazione (EUR)]]</f>
        <v>32.000999999999998</v>
      </c>
    </row>
    <row r="14" spans="1:9" x14ac:dyDescent="0.35">
      <c r="A14" s="10" t="s">
        <v>23</v>
      </c>
      <c r="B14" s="10" t="s">
        <v>41</v>
      </c>
      <c r="C14" s="2">
        <v>117.944</v>
      </c>
      <c r="D14" s="11" t="s">
        <v>7</v>
      </c>
      <c r="E14" s="2">
        <v>188.5</v>
      </c>
      <c r="F14" s="12">
        <v>45806</v>
      </c>
      <c r="G14" s="3" t="s">
        <v>10</v>
      </c>
      <c r="H14" s="4">
        <f>+Table1[[#This Row],[Prezzo Carico (EUR)]]</f>
        <v>188.5</v>
      </c>
      <c r="I14" s="4">
        <f>+Table1[[#This Row],[Prezzo Operazione (EUR)]]</f>
        <v>188.5</v>
      </c>
    </row>
    <row r="15" spans="1:9" x14ac:dyDescent="0.35">
      <c r="A15" s="10" t="s">
        <v>24</v>
      </c>
      <c r="B15" s="10" t="s">
        <v>42</v>
      </c>
      <c r="C15" s="2">
        <v>290.43</v>
      </c>
      <c r="D15" s="11" t="s">
        <v>7</v>
      </c>
      <c r="E15" s="2">
        <v>83.850999999999999</v>
      </c>
      <c r="F15" s="12">
        <v>45355</v>
      </c>
      <c r="G15" s="3" t="s">
        <v>10</v>
      </c>
      <c r="H15" s="4">
        <f>+Table1[[#This Row],[Prezzo Carico (EUR)]]</f>
        <v>83.850999999999999</v>
      </c>
      <c r="I15" s="4">
        <f>+Table1[[#This Row],[Prezzo Operazione (EUR)]]</f>
        <v>83.850999999999999</v>
      </c>
    </row>
    <row r="16" spans="1:9" x14ac:dyDescent="0.35">
      <c r="A16" s="10" t="s">
        <v>25</v>
      </c>
      <c r="B16" s="10" t="s">
        <v>43</v>
      </c>
      <c r="C16" s="2">
        <v>586.02</v>
      </c>
      <c r="D16" s="11" t="s">
        <v>7</v>
      </c>
      <c r="E16" s="2">
        <v>19.100000000000001</v>
      </c>
      <c r="F16" s="12">
        <v>45355</v>
      </c>
      <c r="G16" s="3" t="s">
        <v>10</v>
      </c>
      <c r="H16" s="4">
        <f>+Table1[[#This Row],[Prezzo Carico (EUR)]]</f>
        <v>19.100000000000001</v>
      </c>
      <c r="I16" s="4">
        <f>+Table1[[#This Row],[Prezzo Operazione (EUR)]]</f>
        <v>19.100000000000001</v>
      </c>
    </row>
    <row r="17" spans="1:17" x14ac:dyDescent="0.35">
      <c r="A17" s="10" t="s">
        <v>26</v>
      </c>
      <c r="B17" s="10" t="s">
        <v>44</v>
      </c>
      <c r="C17" s="2">
        <v>86</v>
      </c>
      <c r="D17" s="11" t="s">
        <v>7</v>
      </c>
      <c r="E17" s="2">
        <v>93.194999999999993</v>
      </c>
      <c r="F17" s="12">
        <v>45706</v>
      </c>
      <c r="G17" s="3" t="s">
        <v>10</v>
      </c>
      <c r="H17" s="4">
        <f>+Table1[[#This Row],[Prezzo Carico (EUR)]]</f>
        <v>93.194999999999993</v>
      </c>
      <c r="I17" s="4">
        <f>+Table1[[#This Row],[Prezzo Operazione (EUR)]]</f>
        <v>93.194999999999993</v>
      </c>
    </row>
    <row r="18" spans="1:17" x14ac:dyDescent="0.35">
      <c r="A18" s="10" t="s">
        <v>27</v>
      </c>
      <c r="B18" s="10" t="s">
        <v>45</v>
      </c>
      <c r="C18" s="2">
        <v>99.85</v>
      </c>
      <c r="D18" s="11" t="s">
        <v>7</v>
      </c>
      <c r="E18" s="2">
        <v>100</v>
      </c>
      <c r="F18" s="12">
        <v>45701</v>
      </c>
      <c r="G18" s="3" t="s">
        <v>10</v>
      </c>
      <c r="H18" s="4">
        <f>+Table1[[#This Row],[Prezzo Carico (EUR)]]</f>
        <v>100</v>
      </c>
      <c r="I18" s="4">
        <f>+Table1[[#This Row],[Prezzo Operazione (EUR)]]</f>
        <v>100</v>
      </c>
    </row>
    <row r="19" spans="1:17" x14ac:dyDescent="0.35">
      <c r="A19" s="10" t="s">
        <v>28</v>
      </c>
      <c r="B19" s="10" t="s">
        <v>46</v>
      </c>
      <c r="C19" s="2">
        <v>200</v>
      </c>
      <c r="D19" s="11" t="s">
        <v>7</v>
      </c>
      <c r="E19" s="2">
        <v>97.14</v>
      </c>
      <c r="F19" s="12">
        <v>45355</v>
      </c>
      <c r="G19" s="3" t="s">
        <v>10</v>
      </c>
      <c r="H19" s="4">
        <f>+Table1[[#This Row],[Prezzo Carico (EUR)]]</f>
        <v>97.14</v>
      </c>
      <c r="I19" s="4">
        <f>+Table1[[#This Row],[Prezzo Operazione (EUR)]]</f>
        <v>97.14</v>
      </c>
    </row>
    <row r="20" spans="1:17" x14ac:dyDescent="0.35">
      <c r="A20" s="14" t="s">
        <v>52</v>
      </c>
      <c r="B20" s="14" t="s">
        <v>48</v>
      </c>
      <c r="C20" s="15">
        <v>155</v>
      </c>
      <c r="D20" s="11" t="s">
        <v>7</v>
      </c>
      <c r="E20" s="2">
        <v>94.621290000000002</v>
      </c>
      <c r="F20" s="17">
        <v>46044</v>
      </c>
      <c r="G20" s="3" t="s">
        <v>10</v>
      </c>
      <c r="H20" s="19">
        <f>+Table1[[#This Row],[Prezzo Carico (EUR)]]</f>
        <v>94.621290000000002</v>
      </c>
      <c r="I20" s="19">
        <f>+Table1[[#This Row],[Prezzo Operazione (EUR)]]</f>
        <v>94.621290000000002</v>
      </c>
      <c r="M20" s="1"/>
      <c r="Q20" s="1"/>
    </row>
    <row r="21" spans="1:17" x14ac:dyDescent="0.35">
      <c r="A21" s="14" t="s">
        <v>53</v>
      </c>
      <c r="B21" s="14" t="s">
        <v>49</v>
      </c>
      <c r="C21" s="15">
        <v>2387</v>
      </c>
      <c r="D21" s="16" t="s">
        <v>7</v>
      </c>
      <c r="E21" s="2">
        <v>42.381138999999997</v>
      </c>
      <c r="F21" s="17">
        <v>46044</v>
      </c>
      <c r="G21" s="3" t="s">
        <v>10</v>
      </c>
      <c r="H21" s="19">
        <f>+Table1[[#This Row],[Prezzo Carico (EUR)]]</f>
        <v>42.381138999999997</v>
      </c>
      <c r="I21" s="19">
        <f>+Table1[[#This Row],[Prezzo Operazione (EUR)]]</f>
        <v>42.381138999999997</v>
      </c>
    </row>
    <row r="22" spans="1:17" x14ac:dyDescent="0.35">
      <c r="A22" s="10" t="s">
        <v>54</v>
      </c>
      <c r="B22" s="10" t="s">
        <v>50</v>
      </c>
      <c r="C22" s="2">
        <v>15</v>
      </c>
      <c r="D22" s="11" t="s">
        <v>7</v>
      </c>
      <c r="E22" s="2">
        <v>1009.464666</v>
      </c>
      <c r="F22" s="12">
        <v>46048</v>
      </c>
      <c r="G22" s="3" t="s">
        <v>10</v>
      </c>
      <c r="H22" s="4">
        <f>+Table1[[#This Row],[Prezzo Carico (EUR)]]</f>
        <v>1009.464666</v>
      </c>
      <c r="I22" s="4">
        <f>+Table1[[#This Row],[Prezzo Operazione (EUR)]]</f>
        <v>1009.464666</v>
      </c>
      <c r="M22" s="1"/>
      <c r="Q22" s="1"/>
    </row>
    <row r="23" spans="1:17" x14ac:dyDescent="0.35">
      <c r="A23" s="14" t="s">
        <v>55</v>
      </c>
      <c r="B23" s="14" t="s">
        <v>51</v>
      </c>
      <c r="C23" s="15">
        <v>205</v>
      </c>
      <c r="D23" s="11" t="s">
        <v>7</v>
      </c>
      <c r="E23" s="2">
        <v>97.021951000000001</v>
      </c>
      <c r="F23" s="17">
        <v>46044</v>
      </c>
      <c r="G23" s="3" t="s">
        <v>10</v>
      </c>
      <c r="H23" s="19">
        <f>+Table1[[#This Row],[Prezzo Carico (EUR)]]</f>
        <v>97.021951000000001</v>
      </c>
      <c r="I23" s="19">
        <f>+Table1[[#This Row],[Prezzo Operazione (EUR)]]</f>
        <v>97.021951000000001</v>
      </c>
      <c r="M23" s="1"/>
      <c r="Q23" s="1"/>
    </row>
    <row r="24" spans="1:17" x14ac:dyDescent="0.35">
      <c r="A24" s="14" t="s">
        <v>11</v>
      </c>
      <c r="B24" s="14" t="s">
        <v>29</v>
      </c>
      <c r="C24" s="15">
        <v>200</v>
      </c>
      <c r="D24" s="16" t="s">
        <v>7</v>
      </c>
      <c r="E24" s="15">
        <v>99.77</v>
      </c>
      <c r="F24" s="17">
        <v>46000</v>
      </c>
      <c r="G24" s="18" t="s">
        <v>56</v>
      </c>
      <c r="H24" s="19">
        <f>+Table1[[#This Row],[Prezzo Carico (EUR)]]</f>
        <v>99.77</v>
      </c>
      <c r="I24" s="19">
        <f>+Table1[[#This Row],[Prezzo Operazione (EUR)]]</f>
        <v>99.77</v>
      </c>
    </row>
    <row r="25" spans="1:17" x14ac:dyDescent="0.35">
      <c r="A25" s="14" t="s">
        <v>24</v>
      </c>
      <c r="B25" s="14" t="s">
        <v>42</v>
      </c>
      <c r="C25" s="15">
        <v>290.43000000000006</v>
      </c>
      <c r="D25" s="16" t="s">
        <v>7</v>
      </c>
      <c r="E25" s="15">
        <v>87.51</v>
      </c>
      <c r="F25" s="17">
        <v>45807</v>
      </c>
      <c r="G25" s="18" t="s">
        <v>56</v>
      </c>
      <c r="H25" s="19">
        <f>+Table1[[#This Row],[Prezzo Carico (EUR)]]</f>
        <v>87.51</v>
      </c>
      <c r="I25" s="19">
        <f>+Table1[[#This Row],[Prezzo Operazione (EUR)]]</f>
        <v>87.51</v>
      </c>
    </row>
    <row r="26" spans="1:17" x14ac:dyDescent="0.35">
      <c r="A26" s="14" t="s">
        <v>28</v>
      </c>
      <c r="B26" s="14" t="s">
        <v>46</v>
      </c>
      <c r="C26" s="15">
        <v>200</v>
      </c>
      <c r="D26" s="16" t="s">
        <v>7</v>
      </c>
      <c r="E26" s="15">
        <v>100</v>
      </c>
      <c r="F26" s="17">
        <v>45355</v>
      </c>
      <c r="G26" s="18" t="s">
        <v>56</v>
      </c>
      <c r="H26" s="19">
        <f>+Table1[[#This Row],[Prezzo Carico (EUR)]]</f>
        <v>100</v>
      </c>
      <c r="I26" s="19">
        <f>+Table1[[#This Row],[Prezzo Operazione (EUR)]]</f>
        <v>100</v>
      </c>
    </row>
  </sheetData>
  <conditionalFormatting sqref="A2:A26">
    <cfRule type="containsText" dxfId="7" priority="16" stopIfTrue="1" operator="containsText" text="BTP">
      <formula>NOT(ISERROR(SEARCH("BTP",A2)))</formula>
    </cfRule>
    <cfRule type="expression" dxfId="6" priority="17" stopIfTrue="1">
      <formula>IF(AND(ISNUMBER(SEARCH("H2O", A2)), ISNUMBER(SEARCH("SP", A2))), 1,0)</formula>
    </cfRule>
  </conditionalFormatting>
  <conditionalFormatting sqref="C2:C26">
    <cfRule type="containsBlanks" dxfId="5" priority="14">
      <formula>LEN(TRIM(C2))=0</formula>
    </cfRule>
  </conditionalFormatting>
  <conditionalFormatting sqref="D2:D26">
    <cfRule type="notContainsText" dxfId="4" priority="18" stopIfTrue="1" operator="notContains" text="EUR">
      <formula>ISERROR(SEARCH("EUR",D2))</formula>
    </cfRule>
    <cfRule type="containsBlanks" dxfId="3" priority="18">
      <formula>LEN(TRIM(D2))=0</formula>
    </cfRule>
  </conditionalFormatting>
  <conditionalFormatting sqref="E5">
    <cfRule type="expression" dxfId="2" priority="5">
      <formula>IF(OR(B5="Acquisto",B5="Vendita"),1,0)</formula>
    </cfRule>
  </conditionalFormatting>
  <conditionalFormatting sqref="G2:G26">
    <cfRule type="containsText" dxfId="1" priority="1" operator="containsText" text="Vendita">
      <formula>NOT(ISERROR(SEARCH("Vendita",G2)))</formula>
    </cfRule>
    <cfRule type="containsText" dxfId="0" priority="2" operator="containsText" text="Acquisto">
      <formula>NOT(ISERROR(SEARCH("Acquisto",G2)))</formula>
    </cfRule>
  </conditionalFormatting>
  <dataValidations count="1">
    <dataValidation type="list" allowBlank="1" showInputMessage="1" showErrorMessage="1" sqref="G2:G26" xr:uid="{786B1B08-543B-41BE-8266-499A04655516}">
      <formula1>"Acquisto,Vendita,-"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2026-01-26T11:44:35Z</dcterms:modified>
</cp:coreProperties>
</file>