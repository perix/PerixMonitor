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FFEF192B-38B2-4C60-AEA1-57CF9216BE06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1" hidden="1">Sheet2!$A$1:$C$23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I23" i="1"/>
  <c r="I22" i="1"/>
  <c r="I21" i="1"/>
  <c r="I20" i="1"/>
  <c r="F19" i="1" l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C4" i="1"/>
  <c r="A2" i="1"/>
  <c r="B2" i="1"/>
  <c r="C2" i="1"/>
  <c r="D2" i="1"/>
  <c r="E2" i="1"/>
  <c r="A3" i="1"/>
  <c r="B3" i="1"/>
  <c r="C3" i="1"/>
  <c r="D3" i="1"/>
  <c r="E3" i="1"/>
  <c r="A4" i="1"/>
  <c r="B4" i="1"/>
  <c r="D4" i="1"/>
  <c r="E4" i="1"/>
  <c r="A5" i="1"/>
  <c r="B5" i="1"/>
  <c r="C5" i="1"/>
  <c r="D5" i="1"/>
  <c r="E5" i="1"/>
  <c r="A6" i="1"/>
  <c r="B6" i="1"/>
  <c r="C6" i="1"/>
  <c r="D6" i="1"/>
  <c r="E6" i="1"/>
  <c r="A7" i="1"/>
  <c r="B7" i="1"/>
  <c r="C7" i="1"/>
  <c r="D7" i="1"/>
  <c r="E7" i="1"/>
  <c r="A8" i="1"/>
  <c r="B8" i="1"/>
  <c r="C8" i="1"/>
  <c r="D8" i="1"/>
  <c r="E8" i="1"/>
  <c r="A9" i="1"/>
  <c r="B9" i="1"/>
  <c r="C9" i="1"/>
  <c r="D9" i="1"/>
  <c r="E9" i="1"/>
  <c r="A10" i="1"/>
  <c r="B10" i="1"/>
  <c r="C10" i="1"/>
  <c r="D10" i="1"/>
  <c r="E10" i="1"/>
  <c r="A11" i="1"/>
  <c r="B11" i="1"/>
  <c r="C11" i="1"/>
  <c r="D11" i="1"/>
  <c r="E11" i="1"/>
  <c r="A12" i="1"/>
  <c r="B12" i="1"/>
  <c r="C12" i="1"/>
  <c r="D12" i="1"/>
  <c r="E12" i="1"/>
  <c r="A13" i="1"/>
  <c r="B13" i="1"/>
  <c r="C13" i="1"/>
  <c r="D13" i="1"/>
  <c r="E13" i="1"/>
  <c r="A14" i="1"/>
  <c r="B14" i="1"/>
  <c r="C14" i="1"/>
  <c r="D14" i="1"/>
  <c r="E14" i="1"/>
  <c r="A15" i="1"/>
  <c r="B15" i="1"/>
  <c r="C15" i="1"/>
  <c r="D15" i="1"/>
  <c r="E15" i="1"/>
  <c r="A16" i="1"/>
  <c r="B16" i="1"/>
  <c r="C16" i="1"/>
  <c r="D16" i="1"/>
  <c r="E16" i="1"/>
  <c r="A17" i="1"/>
  <c r="B17" i="1"/>
  <c r="C17" i="1"/>
  <c r="D17" i="1"/>
  <c r="E17" i="1"/>
  <c r="A18" i="1"/>
  <c r="B18" i="1"/>
  <c r="C18" i="1"/>
  <c r="D18" i="1"/>
  <c r="E18" i="1"/>
  <c r="A19" i="1"/>
  <c r="B19" i="1"/>
  <c r="C19" i="1"/>
  <c r="D19" i="1"/>
  <c r="E19" i="1"/>
  <c r="G2" i="1"/>
  <c r="G3" i="1"/>
  <c r="I3" i="1" s="1"/>
  <c r="G4" i="1"/>
  <c r="I4" i="1" s="1"/>
  <c r="G5" i="1"/>
  <c r="G6" i="1"/>
  <c r="G7" i="1"/>
  <c r="G8" i="1"/>
  <c r="I8" i="1" s="1"/>
  <c r="G9" i="1"/>
  <c r="I9" i="1" s="1"/>
  <c r="G10" i="1"/>
  <c r="I10" i="1" s="1"/>
  <c r="G11" i="1"/>
  <c r="I11" i="1" s="1"/>
  <c r="G12" i="1"/>
  <c r="I12" i="1" s="1"/>
  <c r="G13" i="1"/>
  <c r="G14" i="1"/>
  <c r="I14" i="1" s="1"/>
  <c r="G15" i="1"/>
  <c r="G16" i="1"/>
  <c r="I16" i="1" s="1"/>
  <c r="G17" i="1"/>
  <c r="I17" i="1" s="1"/>
  <c r="G18" i="1"/>
  <c r="I18" i="1" s="1"/>
  <c r="G19" i="1"/>
  <c r="I19" i="1" s="1"/>
  <c r="I2" i="1" l="1"/>
  <c r="I15" i="1"/>
  <c r="I13" i="1"/>
  <c r="I5" i="1"/>
  <c r="I6" i="1"/>
  <c r="I7" i="1"/>
  <c r="I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3EFADE7E-CD35-4438-A69D-9133C9A23942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EA6C4C-02C9-4399-B379-A03F8AF902E3}">
      <text>
        <r>
          <rPr>
            <sz val="9"/>
            <color indexed="81"/>
            <rFont val="Tahoma"/>
            <family val="2"/>
          </rPr>
          <t>=LET(
    Prezzo, [@[Prezzo Mercato]],
    Divisa, [@Divisa],
     IF(Divisa="EUR", Prezzo,
       LET(
          Data, STOCKHISTORY(Divisa &amp; "/EUR", TODAY()-15, TODAY(), 0, 0, 1),
          TassiValidi, FILTER(Data, ISNUMBER(Data)),
          UltimoTasso, TAKE(TassiValidi, -1),
          Prezzo * UltimoTasso
       )
    )
)</t>
        </r>
      </text>
    </comment>
  </commentList>
</comments>
</file>

<file path=xl/sharedStrings.xml><?xml version="1.0" encoding="utf-8"?>
<sst xmlns="http://schemas.openxmlformats.org/spreadsheetml/2006/main" count="55" uniqueCount="54">
  <si>
    <t>Descrizione Titolo</t>
  </si>
  <si>
    <t>ISIN</t>
  </si>
  <si>
    <t>Quantità</t>
  </si>
  <si>
    <t>Divisa</t>
  </si>
  <si>
    <t>Prezzo Carico (EUR)</t>
  </si>
  <si>
    <t>Prezzo Corrente (EUR)</t>
  </si>
  <si>
    <t>LU0345361124</t>
  </si>
  <si>
    <t>FID ASIA AGGR AC EUR</t>
  </si>
  <si>
    <t>BTP FEBBR 26 0.5%</t>
  </si>
  <si>
    <t>BTP01.03.22-01.04.27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</si>
  <si>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</si>
  <si>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</si>
  <si>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</si>
  <si>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</si>
  <si>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</si>
  <si>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</si>
  <si>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</si>
  <si>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</si>
  <si>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</si>
  <si>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</si>
  <si>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</si>
  <si>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</si>
  <si>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</si>
  <si>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</si>
  <si>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</si>
  <si>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BSKT/BNPI 28</t>
  </si>
  <si>
    <t>GLB X SILV USD-A EUR</t>
  </si>
  <si>
    <t>VON EXPE28</t>
  </si>
  <si>
    <t>VON EXPE29</t>
  </si>
  <si>
    <t>Data acquisto</t>
  </si>
  <si>
    <t>IT0005419848</t>
  </si>
  <si>
    <t>IT0005484552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</si>
  <si>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</si>
  <si>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</si>
  <si>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</si>
  <si>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</si>
  <si>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</si>
  <si>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</si>
  <si>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</si>
  <si>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</si>
  <si>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</si>
  <si>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</si>
  <si>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</si>
  <si>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</si>
  <si>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</si>
  <si>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</si>
  <si>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</si>
  <si>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XS3174997521</t>
  </si>
  <si>
    <t>IE000UL6CLP7</t>
  </si>
  <si>
    <t>DE000VJ0K5X0</t>
  </si>
  <si>
    <t>DE000VJ20861</t>
  </si>
  <si>
    <t>Controvalore Totale:</t>
  </si>
  <si>
    <t>Descrizione Asset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</si>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</sst>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€&quot;;[Red]\-#,##0.00\ &quot;€&quot;"/>
    <numFmt numFmtId="165" formatCode="#,##0.00;;\-"/>
    <numFmt numFmtId="166" formatCode="0.0000"/>
    <numFmt numFmtId="167" formatCode="#,##0.0000\ &quot;€&quot;;[Red]\-#,##0.0000\ &quot;€&quot;"/>
    <numFmt numFmtId="168" formatCode="#,##0.00\ &quot;€&quot;;[Red]\-#,##0.00\ &quot;€&quot;;\-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indexed="64"/>
      </right>
      <top style="thin">
        <color theme="9"/>
      </top>
      <bottom style="medium">
        <color theme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3" xfId="0" applyFill="1" applyBorder="1"/>
    <xf numFmtId="0" fontId="0" fillId="0" borderId="3" xfId="0" applyBorder="1"/>
    <xf numFmtId="0" fontId="1" fillId="2" borderId="4" xfId="0" applyFont="1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14" fontId="0" fillId="3" borderId="3" xfId="0" applyNumberFormat="1" applyFill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0" fontId="5" fillId="0" borderId="0" xfId="0" applyFont="1"/>
    <xf numFmtId="8" fontId="4" fillId="5" borderId="6" xfId="0" applyNumberFormat="1" applyFont="1" applyFill="1" applyBorder="1"/>
    <xf numFmtId="0" fontId="4" fillId="0" borderId="1" xfId="0" applyFont="1" applyBorder="1"/>
    <xf numFmtId="0" fontId="4" fillId="0" borderId="5" xfId="0" applyFont="1" applyBorder="1"/>
    <xf numFmtId="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/>
    <xf numFmtId="8" fontId="0" fillId="0" borderId="0" xfId="0" applyNumberFormat="1"/>
    <xf numFmtId="9" fontId="0" fillId="0" borderId="0" xfId="0" applyNumberFormat="1"/>
    <xf numFmtId="167" fontId="0" fillId="4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168" fontId="0" fillId="0" borderId="0" xfId="0" applyNumberFormat="1"/>
  </cellXfs>
  <cellStyles count="1">
    <cellStyle name="Normal" xfId="0" builtinId="0"/>
  </cellStyles>
  <dxfs count="6"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01.%20Mauro\01.%20Personal%20Data\07.%20Finanza\01.1%20Banca\2.1%20Mediobanca%20MP\0.%20Reader%20Portafoglio%20-%2072531340%20(MP).xlsm" TargetMode="External"/><Relationship Id="rId1" Type="http://schemas.openxmlformats.org/officeDocument/2006/relationships/externalLinkPath" Target="file:///R:\01.%20Mauro\01.%20Personal%20Data\07.%20Finanza\01.1%20Banca\2.1%20Mediobanca%20MP\0.%20Reader%20Portafoglio%20-%2072531340%20(MP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rtafoglio"/>
      <sheetName val="Costanti"/>
    </sheetNames>
    <sheetDataSet>
      <sheetData sheetId="0">
        <row r="7">
          <cell r="B7" t="str">
            <v>AMUNDI ELTIF PIR AP</v>
          </cell>
          <cell r="C7" t="str">
            <v>LU2906336990</v>
          </cell>
          <cell r="D7">
            <v>99.85</v>
          </cell>
          <cell r="E7" t="str">
            <v>EUR</v>
          </cell>
          <cell r="F7">
            <v>100</v>
          </cell>
          <cell r="J7">
            <v>46059.648170324072</v>
          </cell>
          <cell r="L7">
            <v>100.77</v>
          </cell>
        </row>
        <row r="8">
          <cell r="B8" t="str">
            <v>BSKT/BNPI 28</v>
          </cell>
          <cell r="C8" t="str">
            <v>XS3174997521</v>
          </cell>
          <cell r="D8">
            <v>155</v>
          </cell>
          <cell r="E8" t="str">
            <v>EUR</v>
          </cell>
          <cell r="F8">
            <v>94.621300000000005</v>
          </cell>
          <cell r="J8">
            <v>46059.648170324072</v>
          </cell>
          <cell r="L8">
            <v>87.06</v>
          </cell>
        </row>
        <row r="9">
          <cell r="B9" t="str">
            <v>BTP01.03.22-01.04.27</v>
          </cell>
          <cell r="C9" t="str">
            <v>IT0005484552</v>
          </cell>
          <cell r="D9">
            <v>25000</v>
          </cell>
          <cell r="E9" t="str">
            <v>EUR</v>
          </cell>
          <cell r="F9">
            <v>90.380700000000004</v>
          </cell>
          <cell r="J9">
            <v>46059.648170324072</v>
          </cell>
          <cell r="L9">
            <v>98.94</v>
          </cell>
        </row>
        <row r="10">
          <cell r="B10" t="str">
            <v>FID ASIA AGGR AC EUR</v>
          </cell>
          <cell r="C10" t="str">
            <v>LU0345361124</v>
          </cell>
          <cell r="D10">
            <v>786.29</v>
          </cell>
          <cell r="E10" t="str">
            <v>EUR</v>
          </cell>
          <cell r="F10">
            <v>31.14</v>
          </cell>
          <cell r="J10">
            <v>46059.648170324072</v>
          </cell>
          <cell r="L10">
            <v>33.49</v>
          </cell>
        </row>
        <row r="11">
          <cell r="B11" t="str">
            <v>FID GLO QLTY USD EUR</v>
          </cell>
          <cell r="C11" t="str">
            <v>IE00BYXVGZ48</v>
          </cell>
          <cell r="D11">
            <v>570</v>
          </cell>
          <cell r="E11" t="str">
            <v>EUR</v>
          </cell>
          <cell r="F11">
            <v>8.8187999999999995</v>
          </cell>
          <cell r="J11">
            <v>46059.648170324072</v>
          </cell>
          <cell r="L11">
            <v>9.1660000000000004</v>
          </cell>
        </row>
        <row r="12">
          <cell r="B12" t="str">
            <v>GLB X SILV USD-A EUR</v>
          </cell>
          <cell r="C12" t="str">
            <v>IE000UL6CLP7</v>
          </cell>
          <cell r="D12">
            <v>237</v>
          </cell>
          <cell r="E12" t="str">
            <v>EUR</v>
          </cell>
          <cell r="F12">
            <v>42.381100000000004</v>
          </cell>
          <cell r="J12">
            <v>46059.648170324072</v>
          </cell>
          <cell r="L12">
            <v>38.619999999999997</v>
          </cell>
        </row>
        <row r="13">
          <cell r="B13" t="str">
            <v>H2O MULTIBONDS R EUR</v>
          </cell>
          <cell r="C13" t="str">
            <v>FR0013393329</v>
          </cell>
          <cell r="D13">
            <v>808.88599999999997</v>
          </cell>
          <cell r="E13" t="str">
            <v>EUR</v>
          </cell>
          <cell r="F13">
            <v>79.260800000000003</v>
          </cell>
          <cell r="J13">
            <v>46059.648170324072</v>
          </cell>
          <cell r="L13">
            <v>154.54</v>
          </cell>
        </row>
        <row r="14">
          <cell r="B14" t="str">
            <v>H2O MULTISTRATEGIES</v>
          </cell>
          <cell r="C14" t="str">
            <v>FR0010923383</v>
          </cell>
          <cell r="D14">
            <v>255.42699999999999</v>
          </cell>
          <cell r="E14" t="str">
            <v>EUR</v>
          </cell>
          <cell r="F14">
            <v>188.8296</v>
          </cell>
          <cell r="J14">
            <v>46059.648170324072</v>
          </cell>
          <cell r="L14">
            <v>390.66</v>
          </cell>
        </row>
        <row r="15">
          <cell r="B15" t="str">
            <v>ISHS MSCI WORLD EUR</v>
          </cell>
          <cell r="C15" t="str">
            <v>IE00B4L5Y983</v>
          </cell>
          <cell r="D15">
            <v>47</v>
          </cell>
          <cell r="E15" t="str">
            <v>EUR</v>
          </cell>
          <cell r="F15">
            <v>108.09699999999999</v>
          </cell>
          <cell r="J15">
            <v>46059.648170324072</v>
          </cell>
          <cell r="L15">
            <v>111.77</v>
          </cell>
        </row>
        <row r="16">
          <cell r="B16" t="str">
            <v>M&amp;G EUROP STRA VAL A</v>
          </cell>
          <cell r="C16" t="str">
            <v>LU1670707527</v>
          </cell>
          <cell r="D16">
            <v>945.54899999999998</v>
          </cell>
          <cell r="E16" t="str">
            <v>EUR</v>
          </cell>
          <cell r="F16">
            <v>16.910799999999998</v>
          </cell>
          <cell r="J16">
            <v>46059.648170324072</v>
          </cell>
          <cell r="L16">
            <v>21.6112</v>
          </cell>
        </row>
        <row r="17">
          <cell r="B17" t="str">
            <v>MSIF GL BRDS AC</v>
          </cell>
          <cell r="C17" t="str">
            <v>LU0119620416</v>
          </cell>
          <cell r="D17">
            <v>104.37</v>
          </cell>
          <cell r="E17" t="str">
            <v>USD</v>
          </cell>
          <cell r="F17">
            <v>183.25</v>
          </cell>
          <cell r="J17">
            <v>46059.648170324072</v>
          </cell>
          <cell r="L17">
            <v>175.20813000000001</v>
          </cell>
        </row>
        <row r="18">
          <cell r="B18" t="str">
            <v>MSIF GL OPP AC</v>
          </cell>
          <cell r="C18" t="str">
            <v>LU0552385295</v>
          </cell>
          <cell r="D18">
            <v>207.953</v>
          </cell>
          <cell r="E18" t="str">
            <v>USD</v>
          </cell>
          <cell r="F18">
            <v>86.142099999999999</v>
          </cell>
          <cell r="J18">
            <v>46059.648170324072</v>
          </cell>
          <cell r="L18">
            <v>130.49978999999999</v>
          </cell>
        </row>
        <row r="19">
          <cell r="B19" t="str">
            <v>N1 CLIM ENV EQ B EUR</v>
          </cell>
          <cell r="C19" t="str">
            <v>LU0348926287</v>
          </cell>
          <cell r="D19">
            <v>448.18400000000003</v>
          </cell>
          <cell r="E19" t="str">
            <v>EUR</v>
          </cell>
          <cell r="F19">
            <v>24.51</v>
          </cell>
          <cell r="J19">
            <v>46059.648170324072</v>
          </cell>
          <cell r="L19">
            <v>35.7044</v>
          </cell>
        </row>
        <row r="20">
          <cell r="B20" t="str">
            <v>N1 EUR BANK D BP EUR</v>
          </cell>
          <cell r="C20" t="str">
            <v>LU0772944145</v>
          </cell>
          <cell r="D20">
            <v>117.944</v>
          </cell>
          <cell r="E20" t="str">
            <v>EUR</v>
          </cell>
          <cell r="F20">
            <v>188.49709999999999</v>
          </cell>
          <cell r="J20">
            <v>46059.648170324072</v>
          </cell>
          <cell r="L20">
            <v>211.02279999999999</v>
          </cell>
        </row>
        <row r="21">
          <cell r="B21" t="str">
            <v>SISF ASIAN OP AC EUR</v>
          </cell>
          <cell r="C21" t="str">
            <v>LU0248184466</v>
          </cell>
          <cell r="D21">
            <v>586.02</v>
          </cell>
          <cell r="E21" t="str">
            <v>EUR</v>
          </cell>
          <cell r="F21">
            <v>17.7333</v>
          </cell>
          <cell r="J21">
            <v>46059.648170324072</v>
          </cell>
          <cell r="L21">
            <v>27.180900000000001</v>
          </cell>
        </row>
        <row r="22">
          <cell r="B22" t="str">
            <v>VON EXPE28</v>
          </cell>
          <cell r="C22" t="str">
            <v>DE000VJ0K5X0</v>
          </cell>
          <cell r="D22">
            <v>15</v>
          </cell>
          <cell r="E22" t="str">
            <v>EUR</v>
          </cell>
          <cell r="F22">
            <v>1009.4647</v>
          </cell>
          <cell r="J22">
            <v>46059.648170324072</v>
          </cell>
          <cell r="L22">
            <v>1020</v>
          </cell>
        </row>
        <row r="23">
          <cell r="B23" t="str">
            <v>VON EXPE29</v>
          </cell>
          <cell r="C23" t="str">
            <v>DE000VJ20861</v>
          </cell>
          <cell r="D23">
            <v>205</v>
          </cell>
          <cell r="E23" t="str">
            <v>EUR</v>
          </cell>
          <cell r="F23">
            <v>97.022000000000006</v>
          </cell>
          <cell r="J23">
            <v>46059.648170324072</v>
          </cell>
          <cell r="L23">
            <v>96.4</v>
          </cell>
        </row>
        <row r="24">
          <cell r="B24" t="str">
            <v>XTRACKERS INFORM EUR</v>
          </cell>
          <cell r="C24" t="str">
            <v>IE00BM67HT60</v>
          </cell>
          <cell r="D24">
            <v>86</v>
          </cell>
          <cell r="E24" t="str">
            <v>EUR</v>
          </cell>
          <cell r="F24">
            <v>93.194999999999993</v>
          </cell>
          <cell r="J24">
            <v>46059.648170324072</v>
          </cell>
          <cell r="L24">
            <v>94.09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L24"/>
  <sheetViews>
    <sheetView showGridLines="0" tabSelected="1" workbookViewId="0">
      <pane ySplit="1" topLeftCell="A2" activePane="bottomLeft" state="frozenSplit"/>
      <selection pane="bottomLeft" activeCell="H29" sqref="H29"/>
    </sheetView>
  </sheetViews>
  <sheetFormatPr defaultRowHeight="14.5" x14ac:dyDescent="0.35"/>
  <cols>
    <col min="1" max="1" width="28" bestFit="1" customWidth="1"/>
    <col min="2" max="2" width="14.54296875" bestFit="1" customWidth="1"/>
    <col min="3" max="3" width="9.36328125" customWidth="1"/>
    <col min="4" max="4" width="7.36328125" customWidth="1"/>
    <col min="5" max="5" width="18.36328125" customWidth="1"/>
    <col min="6" max="6" width="23.90625" style="3" bestFit="1" customWidth="1"/>
    <col min="7" max="7" width="21.90625" customWidth="1"/>
    <col min="9" max="9" width="12.6328125" bestFit="1" customWidth="1"/>
    <col min="11" max="11" width="17.90625" bestFit="1" customWidth="1"/>
    <col min="12" max="12" width="19.1796875" customWidth="1"/>
  </cols>
  <sheetData>
    <row r="1" spans="1:12" ht="15" thickBot="1" x14ac:dyDescent="0.4">
      <c r="A1" s="24" t="s">
        <v>52</v>
      </c>
      <c r="B1" s="25" t="s">
        <v>1</v>
      </c>
      <c r="C1" s="24" t="s">
        <v>2</v>
      </c>
      <c r="D1" s="24" t="s">
        <v>3</v>
      </c>
      <c r="E1" s="24" t="s">
        <v>4</v>
      </c>
      <c r="F1" s="25" t="s">
        <v>53</v>
      </c>
      <c r="G1" s="25" t="s">
        <v>5</v>
      </c>
      <c r="I1" s="15">
        <f ca="1">SUM(I2:I24)</f>
        <v>2933642.1897175703</v>
      </c>
      <c r="J1" s="14" t="s">
        <v>51</v>
      </c>
    </row>
    <row r="2" spans="1:12" x14ac:dyDescent="0.35">
      <c r="A2" s="16" t="str">
        <f>[1]Portafoglio!B7</f>
        <v>AMUNDI ELTIF PIR AP</v>
      </c>
      <c r="B2" s="17" t="str">
        <f>[1]Portafoglio!C7</f>
        <v>LU2906336990</v>
      </c>
      <c r="C2" s="18">
        <f>[1]Portafoglio!D7</f>
        <v>99.85</v>
      </c>
      <c r="D2" s="19" t="str">
        <f>[1]Portafoglio!E7</f>
        <v>EUR</v>
      </c>
      <c r="E2" s="20">
        <f>[1]Portafoglio!F7</f>
        <v>100</v>
      </c>
      <c r="F2" s="13">
        <f>TRUNC([1]Portafoglio!J7)</f>
        <v>46059</v>
      </c>
      <c r="G2" s="23">
        <f ca="1">[1]Portafoglio!L7</f>
        <v>100.77</v>
      </c>
      <c r="I2" s="26">
        <f ca="1">+C2*G2</f>
        <v>10061.884499999998</v>
      </c>
    </row>
    <row r="3" spans="1:12" x14ac:dyDescent="0.35">
      <c r="A3" s="16" t="str">
        <f>[1]Portafoglio!B8</f>
        <v>BSKT/BNPI 28</v>
      </c>
      <c r="B3" s="17" t="str">
        <f>[1]Portafoglio!C8</f>
        <v>XS3174997521</v>
      </c>
      <c r="C3" s="18">
        <f>[1]Portafoglio!D8</f>
        <v>155</v>
      </c>
      <c r="D3" s="19" t="str">
        <f>[1]Portafoglio!E8</f>
        <v>EUR</v>
      </c>
      <c r="E3" s="20">
        <f>[1]Portafoglio!F8</f>
        <v>94.621300000000005</v>
      </c>
      <c r="F3" s="13">
        <f>TRUNC([1]Portafoglio!J8)</f>
        <v>46059</v>
      </c>
      <c r="G3" s="23">
        <f ca="1">[1]Portafoglio!L8</f>
        <v>87.06</v>
      </c>
      <c r="I3" s="26">
        <f ca="1">+C3*G3</f>
        <v>13494.300000000001</v>
      </c>
    </row>
    <row r="4" spans="1:12" x14ac:dyDescent="0.35">
      <c r="A4" s="16" t="str">
        <f>[1]Portafoglio!B9</f>
        <v>BTP01.03.22-01.04.27</v>
      </c>
      <c r="B4" s="17" t="str">
        <f>[1]Portafoglio!C9</f>
        <v>IT0005484552</v>
      </c>
      <c r="C4" s="18">
        <f>[1]Portafoglio!D9</f>
        <v>25000</v>
      </c>
      <c r="D4" s="19" t="str">
        <f>[1]Portafoglio!E9</f>
        <v>EUR</v>
      </c>
      <c r="E4" s="20">
        <f>[1]Portafoglio!F9</f>
        <v>90.380700000000004</v>
      </c>
      <c r="F4" s="13">
        <f>TRUNC([1]Portafoglio!J9)</f>
        <v>46059</v>
      </c>
      <c r="G4" s="23">
        <f ca="1">[1]Portafoglio!L9</f>
        <v>98.94</v>
      </c>
      <c r="I4" s="26">
        <f ca="1">+C4*G4</f>
        <v>2473500</v>
      </c>
    </row>
    <row r="5" spans="1:12" x14ac:dyDescent="0.35">
      <c r="A5" s="16" t="str">
        <f>[1]Portafoglio!B10</f>
        <v>FID ASIA AGGR AC EUR</v>
      </c>
      <c r="B5" s="17" t="str">
        <f>[1]Portafoglio!C10</f>
        <v>LU0345361124</v>
      </c>
      <c r="C5" s="18">
        <f>[1]Portafoglio!D10</f>
        <v>786.29</v>
      </c>
      <c r="D5" s="19" t="str">
        <f>[1]Portafoglio!E10</f>
        <v>EUR</v>
      </c>
      <c r="E5" s="20">
        <f>[1]Portafoglio!F10</f>
        <v>31.14</v>
      </c>
      <c r="F5" s="13">
        <f>TRUNC([1]Portafoglio!J10)</f>
        <v>46059</v>
      </c>
      <c r="G5" s="23">
        <f ca="1">[1]Portafoglio!L10</f>
        <v>33.49</v>
      </c>
      <c r="I5" s="26">
        <f ca="1">+C5*G5</f>
        <v>26332.8521</v>
      </c>
      <c r="K5" s="21"/>
      <c r="L5" s="22"/>
    </row>
    <row r="6" spans="1:12" x14ac:dyDescent="0.35">
      <c r="A6" s="16" t="str">
        <f>[1]Portafoglio!B11</f>
        <v>FID GLO QLTY USD EUR</v>
      </c>
      <c r="B6" s="17" t="str">
        <f>[1]Portafoglio!C11</f>
        <v>IE00BYXVGZ48</v>
      </c>
      <c r="C6" s="18">
        <f>[1]Portafoglio!D11</f>
        <v>570</v>
      </c>
      <c r="D6" s="19" t="str">
        <f>[1]Portafoglio!E11</f>
        <v>EUR</v>
      </c>
      <c r="E6" s="20">
        <f>[1]Portafoglio!F11</f>
        <v>8.8187999999999995</v>
      </c>
      <c r="F6" s="13">
        <f>TRUNC([1]Portafoglio!J11)</f>
        <v>46059</v>
      </c>
      <c r="G6" s="23">
        <f ca="1">[1]Portafoglio!L11</f>
        <v>9.1660000000000004</v>
      </c>
      <c r="I6" s="26">
        <f ca="1">+C6*G6</f>
        <v>5224.62</v>
      </c>
      <c r="K6" s="21"/>
      <c r="L6" s="22"/>
    </row>
    <row r="7" spans="1:12" x14ac:dyDescent="0.35">
      <c r="A7" s="16" t="str">
        <f>[1]Portafoglio!B12</f>
        <v>GLB X SILV USD-A EUR</v>
      </c>
      <c r="B7" s="17" t="str">
        <f>[1]Portafoglio!C12</f>
        <v>IE000UL6CLP7</v>
      </c>
      <c r="C7" s="18">
        <f>[1]Portafoglio!D12</f>
        <v>237</v>
      </c>
      <c r="D7" s="19" t="str">
        <f>[1]Portafoglio!E12</f>
        <v>EUR</v>
      </c>
      <c r="E7" s="20">
        <f>[1]Portafoglio!F12</f>
        <v>42.381100000000004</v>
      </c>
      <c r="F7" s="13">
        <f>TRUNC([1]Portafoglio!J12)</f>
        <v>46059</v>
      </c>
      <c r="G7" s="23">
        <f ca="1">[1]Portafoglio!L12</f>
        <v>38.619999999999997</v>
      </c>
      <c r="I7" s="26">
        <f ca="1">+C7*G7</f>
        <v>9152.9399999999987</v>
      </c>
      <c r="K7" s="21"/>
      <c r="L7" s="22"/>
    </row>
    <row r="8" spans="1:12" x14ac:dyDescent="0.35">
      <c r="A8" s="16" t="str">
        <f>[1]Portafoglio!B13</f>
        <v>H2O MULTIBONDS R EUR</v>
      </c>
      <c r="B8" s="17" t="str">
        <f>[1]Portafoglio!C13</f>
        <v>FR0013393329</v>
      </c>
      <c r="C8" s="18">
        <f>[1]Portafoglio!D13</f>
        <v>808.88599999999997</v>
      </c>
      <c r="D8" s="19" t="str">
        <f>[1]Portafoglio!E13</f>
        <v>EUR</v>
      </c>
      <c r="E8" s="20">
        <f>[1]Portafoglio!F13</f>
        <v>79.260800000000003</v>
      </c>
      <c r="F8" s="13">
        <f>TRUNC([1]Portafoglio!J13)</f>
        <v>46059</v>
      </c>
      <c r="G8" s="23">
        <f ca="1">[1]Portafoglio!L13</f>
        <v>154.54</v>
      </c>
      <c r="I8" s="26">
        <f ca="1">+C8*G8</f>
        <v>125005.24243999999</v>
      </c>
    </row>
    <row r="9" spans="1:12" x14ac:dyDescent="0.35">
      <c r="A9" s="16" t="str">
        <f>[1]Portafoglio!B14</f>
        <v>H2O MULTISTRATEGIES</v>
      </c>
      <c r="B9" s="17" t="str">
        <f>[1]Portafoglio!C14</f>
        <v>FR0010923383</v>
      </c>
      <c r="C9" s="18">
        <f>[1]Portafoglio!D14</f>
        <v>255.42699999999999</v>
      </c>
      <c r="D9" s="19" t="str">
        <f>[1]Portafoglio!E14</f>
        <v>EUR</v>
      </c>
      <c r="E9" s="20">
        <f>[1]Portafoglio!F14</f>
        <v>188.8296</v>
      </c>
      <c r="F9" s="13">
        <f>TRUNC([1]Portafoglio!J14)</f>
        <v>46059</v>
      </c>
      <c r="G9" s="23">
        <f ca="1">[1]Portafoglio!L14</f>
        <v>390.66</v>
      </c>
      <c r="I9" s="26">
        <f ca="1">+C9*G9</f>
        <v>99785.111820000006</v>
      </c>
      <c r="K9" s="21"/>
    </row>
    <row r="10" spans="1:12" x14ac:dyDescent="0.35">
      <c r="A10" s="16" t="str">
        <f>[1]Portafoglio!B15</f>
        <v>ISHS MSCI WORLD EUR</v>
      </c>
      <c r="B10" s="17" t="str">
        <f>[1]Portafoglio!C15</f>
        <v>IE00B4L5Y983</v>
      </c>
      <c r="C10" s="18">
        <f>[1]Portafoglio!D15</f>
        <v>47</v>
      </c>
      <c r="D10" s="19" t="str">
        <f>[1]Portafoglio!E15</f>
        <v>EUR</v>
      </c>
      <c r="E10" s="20">
        <f>[1]Portafoglio!F15</f>
        <v>108.09699999999999</v>
      </c>
      <c r="F10" s="13">
        <f>TRUNC([1]Portafoglio!J15)</f>
        <v>46059</v>
      </c>
      <c r="G10" s="23">
        <f ca="1">[1]Portafoglio!L15</f>
        <v>111.77</v>
      </c>
      <c r="I10" s="26">
        <f ca="1">+C10*G10</f>
        <v>5253.19</v>
      </c>
    </row>
    <row r="11" spans="1:12" x14ac:dyDescent="0.35">
      <c r="A11" s="16" t="str">
        <f>[1]Portafoglio!B16</f>
        <v>M&amp;G EUROP STRA VAL A</v>
      </c>
      <c r="B11" s="17" t="str">
        <f>[1]Portafoglio!C16</f>
        <v>LU1670707527</v>
      </c>
      <c r="C11" s="18">
        <f>[1]Portafoglio!D16</f>
        <v>945.54899999999998</v>
      </c>
      <c r="D11" s="19" t="str">
        <f>[1]Portafoglio!E16</f>
        <v>EUR</v>
      </c>
      <c r="E11" s="20">
        <f>[1]Portafoglio!F16</f>
        <v>16.910799999999998</v>
      </c>
      <c r="F11" s="13">
        <f>TRUNC([1]Portafoglio!J16)</f>
        <v>46059</v>
      </c>
      <c r="G11" s="23">
        <f ca="1">[1]Portafoglio!L16</f>
        <v>21.6112</v>
      </c>
      <c r="I11" s="26">
        <f ca="1">+C11*G11</f>
        <v>20434.448548799999</v>
      </c>
    </row>
    <row r="12" spans="1:12" x14ac:dyDescent="0.35">
      <c r="A12" s="16" t="str">
        <f>[1]Portafoglio!B17</f>
        <v>MSIF GL BRDS AC</v>
      </c>
      <c r="B12" s="17" t="str">
        <f>[1]Portafoglio!C17</f>
        <v>LU0119620416</v>
      </c>
      <c r="C12" s="18">
        <f>[1]Portafoglio!D17</f>
        <v>104.37</v>
      </c>
      <c r="D12" s="19" t="str">
        <f>[1]Portafoglio!E17</f>
        <v>USD</v>
      </c>
      <c r="E12" s="20">
        <f>[1]Portafoglio!F17</f>
        <v>183.25</v>
      </c>
      <c r="F12" s="13">
        <f>TRUNC([1]Portafoglio!J17)</f>
        <v>46059</v>
      </c>
      <c r="G12" s="23">
        <f ca="1">[1]Portafoglio!L17</f>
        <v>175.20813000000001</v>
      </c>
      <c r="I12" s="26">
        <f ca="1">+C12*G12</f>
        <v>18286.472528100003</v>
      </c>
    </row>
    <row r="13" spans="1:12" x14ac:dyDescent="0.35">
      <c r="A13" s="16" t="str">
        <f>[1]Portafoglio!B18</f>
        <v>MSIF GL OPP AC</v>
      </c>
      <c r="B13" s="17" t="str">
        <f>[1]Portafoglio!C18</f>
        <v>LU0552385295</v>
      </c>
      <c r="C13" s="18">
        <f>[1]Portafoglio!D18</f>
        <v>207.953</v>
      </c>
      <c r="D13" s="19" t="str">
        <f>[1]Portafoglio!E18</f>
        <v>USD</v>
      </c>
      <c r="E13" s="20">
        <f>[1]Portafoglio!F18</f>
        <v>86.142099999999999</v>
      </c>
      <c r="F13" s="13">
        <f>TRUNC([1]Portafoglio!J18)</f>
        <v>46059</v>
      </c>
      <c r="G13" s="23">
        <f ca="1">[1]Portafoglio!L18</f>
        <v>130.49978999999999</v>
      </c>
      <c r="I13" s="26">
        <f ca="1">+C13*G13</f>
        <v>27137.822829869998</v>
      </c>
    </row>
    <row r="14" spans="1:12" x14ac:dyDescent="0.35">
      <c r="A14" s="16" t="str">
        <f>[1]Portafoglio!B19</f>
        <v>N1 CLIM ENV EQ B EUR</v>
      </c>
      <c r="B14" s="17" t="str">
        <f>[1]Portafoglio!C19</f>
        <v>LU0348926287</v>
      </c>
      <c r="C14" s="18">
        <f>[1]Portafoglio!D19</f>
        <v>448.18400000000003</v>
      </c>
      <c r="D14" s="19" t="str">
        <f>[1]Portafoglio!E19</f>
        <v>EUR</v>
      </c>
      <c r="E14" s="20">
        <f>[1]Portafoglio!F19</f>
        <v>24.51</v>
      </c>
      <c r="F14" s="13">
        <f>TRUNC([1]Portafoglio!J19)</f>
        <v>46059</v>
      </c>
      <c r="G14" s="23">
        <f ca="1">[1]Portafoglio!L19</f>
        <v>35.7044</v>
      </c>
      <c r="I14" s="26">
        <f ca="1">+C14*G14</f>
        <v>16002.140809600001</v>
      </c>
    </row>
    <row r="15" spans="1:12" x14ac:dyDescent="0.35">
      <c r="A15" s="16" t="str">
        <f>[1]Portafoglio!B20</f>
        <v>N1 EUR BANK D BP EUR</v>
      </c>
      <c r="B15" s="17" t="str">
        <f>[1]Portafoglio!C20</f>
        <v>LU0772944145</v>
      </c>
      <c r="C15" s="18">
        <f>[1]Portafoglio!D20</f>
        <v>117.944</v>
      </c>
      <c r="D15" s="19" t="str">
        <f>[1]Portafoglio!E20</f>
        <v>EUR</v>
      </c>
      <c r="E15" s="20">
        <f>[1]Portafoglio!F20</f>
        <v>188.49709999999999</v>
      </c>
      <c r="F15" s="13">
        <f>TRUNC([1]Portafoglio!J20)</f>
        <v>46059</v>
      </c>
      <c r="G15" s="23">
        <f ca="1">[1]Portafoglio!L20</f>
        <v>211.02279999999999</v>
      </c>
      <c r="I15" s="26">
        <f ca="1">+C15*G15</f>
        <v>24888.873123199999</v>
      </c>
    </row>
    <row r="16" spans="1:12" x14ac:dyDescent="0.35">
      <c r="A16" s="16" t="str">
        <f>[1]Portafoglio!B21</f>
        <v>SISF ASIAN OP AC EUR</v>
      </c>
      <c r="B16" s="17" t="str">
        <f>[1]Portafoglio!C21</f>
        <v>LU0248184466</v>
      </c>
      <c r="C16" s="18">
        <f>[1]Portafoglio!D21</f>
        <v>586.02</v>
      </c>
      <c r="D16" s="19" t="str">
        <f>[1]Portafoglio!E21</f>
        <v>EUR</v>
      </c>
      <c r="E16" s="20">
        <f>[1]Portafoglio!F21</f>
        <v>17.7333</v>
      </c>
      <c r="F16" s="13">
        <f>TRUNC([1]Portafoglio!J21)</f>
        <v>46059</v>
      </c>
      <c r="G16" s="23">
        <f ca="1">[1]Portafoglio!L21</f>
        <v>27.180900000000001</v>
      </c>
      <c r="I16" s="26">
        <f ca="1">+C16*G16</f>
        <v>15928.551018</v>
      </c>
    </row>
    <row r="17" spans="1:9" x14ac:dyDescent="0.35">
      <c r="A17" s="16" t="str">
        <f>[1]Portafoglio!B22</f>
        <v>VON EXPE28</v>
      </c>
      <c r="B17" s="17" t="str">
        <f>[1]Portafoglio!C22</f>
        <v>DE000VJ0K5X0</v>
      </c>
      <c r="C17" s="18">
        <f>[1]Portafoglio!D22</f>
        <v>15</v>
      </c>
      <c r="D17" s="19" t="str">
        <f>[1]Portafoglio!E22</f>
        <v>EUR</v>
      </c>
      <c r="E17" s="20">
        <f>[1]Portafoglio!F22</f>
        <v>1009.4647</v>
      </c>
      <c r="F17" s="13">
        <f>TRUNC([1]Portafoglio!J22)</f>
        <v>46059</v>
      </c>
      <c r="G17" s="23">
        <f ca="1">[1]Portafoglio!L22</f>
        <v>1020</v>
      </c>
      <c r="I17" s="26">
        <f ca="1">+C17*G17</f>
        <v>15300</v>
      </c>
    </row>
    <row r="18" spans="1:9" x14ac:dyDescent="0.35">
      <c r="A18" s="16" t="str">
        <f>[1]Portafoglio!B23</f>
        <v>VON EXPE29</v>
      </c>
      <c r="B18" s="17" t="str">
        <f>[1]Portafoglio!C23</f>
        <v>DE000VJ20861</v>
      </c>
      <c r="C18" s="18">
        <f>[1]Portafoglio!D23</f>
        <v>205</v>
      </c>
      <c r="D18" s="19" t="str">
        <f>[1]Portafoglio!E23</f>
        <v>EUR</v>
      </c>
      <c r="E18" s="20">
        <f>[1]Portafoglio!F23</f>
        <v>97.022000000000006</v>
      </c>
      <c r="F18" s="13">
        <f>TRUNC([1]Portafoglio!J23)</f>
        <v>46059</v>
      </c>
      <c r="G18" s="23">
        <f ca="1">[1]Portafoglio!L23</f>
        <v>96.4</v>
      </c>
      <c r="I18" s="26">
        <f ca="1">+C18*G18</f>
        <v>19762</v>
      </c>
    </row>
    <row r="19" spans="1:9" x14ac:dyDescent="0.35">
      <c r="A19" s="16" t="str">
        <f>[1]Portafoglio!B24</f>
        <v>XTRACKERS INFORM EUR</v>
      </c>
      <c r="B19" s="17" t="str">
        <f>[1]Portafoglio!C24</f>
        <v>IE00BM67HT60</v>
      </c>
      <c r="C19" s="18">
        <f>[1]Portafoglio!D24</f>
        <v>86</v>
      </c>
      <c r="D19" s="19" t="str">
        <f>[1]Portafoglio!E24</f>
        <v>EUR</v>
      </c>
      <c r="E19" s="20">
        <f>[1]Portafoglio!F24</f>
        <v>93.194999999999993</v>
      </c>
      <c r="F19" s="13">
        <f>TRUNC([1]Portafoglio!J24)</f>
        <v>46059</v>
      </c>
      <c r="G19" s="23">
        <f ca="1">[1]Portafoglio!L24</f>
        <v>94.09</v>
      </c>
      <c r="I19" s="26">
        <f ca="1">+C19*G19</f>
        <v>8091.7400000000007</v>
      </c>
    </row>
    <row r="20" spans="1:9" x14ac:dyDescent="0.35">
      <c r="A20" s="16"/>
      <c r="B20" s="17"/>
      <c r="C20" s="18"/>
      <c r="D20" s="19"/>
      <c r="E20" s="20"/>
      <c r="F20" s="13"/>
      <c r="G20" s="23"/>
      <c r="I20" s="26">
        <f t="shared" ref="I20:I24" si="0">+C20*G20</f>
        <v>0</v>
      </c>
    </row>
    <row r="21" spans="1:9" x14ac:dyDescent="0.35">
      <c r="A21" s="16"/>
      <c r="B21" s="17"/>
      <c r="C21" s="18"/>
      <c r="D21" s="19"/>
      <c r="E21" s="20"/>
      <c r="F21" s="13"/>
      <c r="G21" s="23"/>
      <c r="I21" s="26">
        <f t="shared" si="0"/>
        <v>0</v>
      </c>
    </row>
    <row r="22" spans="1:9" x14ac:dyDescent="0.35">
      <c r="A22" s="16"/>
      <c r="B22" s="17"/>
      <c r="C22" s="18"/>
      <c r="D22" s="19"/>
      <c r="E22" s="20"/>
      <c r="F22" s="13"/>
      <c r="G22" s="23"/>
      <c r="I22" s="26">
        <f t="shared" si="0"/>
        <v>0</v>
      </c>
    </row>
    <row r="23" spans="1:9" x14ac:dyDescent="0.35">
      <c r="A23" s="16"/>
      <c r="B23" s="17"/>
      <c r="C23" s="18"/>
      <c r="D23" s="19"/>
      <c r="E23" s="20"/>
      <c r="F23" s="13"/>
      <c r="G23" s="23"/>
      <c r="I23" s="26">
        <f t="shared" si="0"/>
        <v>0</v>
      </c>
    </row>
    <row r="24" spans="1:9" x14ac:dyDescent="0.35">
      <c r="A24" s="16"/>
      <c r="B24" s="17"/>
      <c r="C24" s="18"/>
      <c r="D24" s="19"/>
      <c r="E24" s="20"/>
      <c r="F24" s="13"/>
      <c r="G24" s="23"/>
      <c r="I24" s="26">
        <f t="shared" si="0"/>
        <v>0</v>
      </c>
    </row>
  </sheetData>
  <conditionalFormatting sqref="A2:A24">
    <cfRule type="expression" dxfId="5" priority="3" stopIfTrue="1">
      <formula>IF(AND(ISNUMBER(SEARCH("H2O", A2)), ISNUMBER(SEARCH("SP", A2))), 1,0)</formula>
    </cfRule>
    <cfRule type="containsText" dxfId="4" priority="4" stopIfTrue="1" operator="containsText" text="BTP">
      <formula>NOT(ISERROR(SEARCH("BTP",A2)))</formula>
    </cfRule>
  </conditionalFormatting>
  <conditionalFormatting sqref="D2:D24">
    <cfRule type="notContainsText" dxfId="2" priority="2" operator="notContains" text="EUR">
      <formula>ISERROR(SEARCH("EUR",D2))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983253CC-52ED-4C0F-8FE7-E0961D3C14A9}">
            <xm:f>NOT(ISERROR(SEARCH("-",D2)))</xm:f>
            <xm:f>"-"</xm:f>
            <x14:dxf>
              <fill>
                <patternFill patternType="none">
                  <bgColor auto="1"/>
                </patternFill>
              </fill>
            </x14:dxf>
          </x14:cfRule>
          <xm:sqref>D2:D24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381C-8CBF-446A-9253-195F23709E46}">
  <dimension ref="A1:C23"/>
  <sheetViews>
    <sheetView workbookViewId="0">
      <selection activeCell="A2" sqref="A2"/>
    </sheetView>
  </sheetViews>
  <sheetFormatPr defaultRowHeight="14.5" x14ac:dyDescent="0.35"/>
  <cols>
    <col min="1" max="1" width="28.36328125" bestFit="1" customWidth="1"/>
    <col min="2" max="2" width="28.36328125" customWidth="1"/>
    <col min="3" max="3" width="19.36328125" bestFit="1" customWidth="1"/>
  </cols>
  <sheetData>
    <row r="1" spans="1:3" ht="15" thickBot="1" x14ac:dyDescent="0.4">
      <c r="A1" s="4" t="s">
        <v>0</v>
      </c>
      <c r="B1" s="12" t="s">
        <v>1</v>
      </c>
      <c r="C1" s="8" t="s">
        <v>29</v>
      </c>
    </row>
    <row r="2" spans="1:3" x14ac:dyDescent="0.35">
      <c r="A2" s="5" t="s">
        <v>8</v>
      </c>
      <c r="B2" s="5" t="s">
        <v>30</v>
      </c>
      <c r="C2" s="9">
        <v>45002</v>
      </c>
    </row>
    <row r="3" spans="1:3" x14ac:dyDescent="0.35">
      <c r="A3" s="1" t="s">
        <v>9</v>
      </c>
      <c r="B3" s="1" t="s">
        <v>31</v>
      </c>
      <c r="C3" s="2">
        <v>45002</v>
      </c>
    </row>
    <row r="4" spans="1:3" x14ac:dyDescent="0.35">
      <c r="A4" s="5" t="s">
        <v>7</v>
      </c>
      <c r="B4" s="5" t="s">
        <v>6</v>
      </c>
      <c r="C4" s="9">
        <v>45355</v>
      </c>
    </row>
    <row r="5" spans="1:3" x14ac:dyDescent="0.35">
      <c r="A5" s="1" t="s">
        <v>10</v>
      </c>
      <c r="B5" s="1" t="s">
        <v>32</v>
      </c>
      <c r="C5" s="2">
        <v>45355</v>
      </c>
    </row>
    <row r="6" spans="1:3" x14ac:dyDescent="0.35">
      <c r="A6" s="5" t="s">
        <v>11</v>
      </c>
      <c r="B6" s="5" t="s">
        <v>33</v>
      </c>
      <c r="C6" s="9">
        <v>45355</v>
      </c>
    </row>
    <row r="7" spans="1:3" x14ac:dyDescent="0.35">
      <c r="A7" s="1" t="s">
        <v>16</v>
      </c>
      <c r="B7" s="1" t="s">
        <v>38</v>
      </c>
      <c r="C7" s="2">
        <v>45355</v>
      </c>
    </row>
    <row r="8" spans="1:3" x14ac:dyDescent="0.35">
      <c r="A8" s="5" t="s">
        <v>17</v>
      </c>
      <c r="B8" s="5" t="s">
        <v>39</v>
      </c>
      <c r="C8" s="9">
        <v>45355</v>
      </c>
    </row>
    <row r="9" spans="1:3" x14ac:dyDescent="0.35">
      <c r="A9" s="1" t="s">
        <v>18</v>
      </c>
      <c r="B9" s="1" t="s">
        <v>40</v>
      </c>
      <c r="C9" s="2">
        <v>45355</v>
      </c>
    </row>
    <row r="10" spans="1:3" x14ac:dyDescent="0.35">
      <c r="A10" s="1" t="s">
        <v>20</v>
      </c>
      <c r="B10" s="1" t="s">
        <v>42</v>
      </c>
      <c r="C10" s="2">
        <v>45355</v>
      </c>
    </row>
    <row r="11" spans="1:3" x14ac:dyDescent="0.35">
      <c r="A11" s="5" t="s">
        <v>21</v>
      </c>
      <c r="B11" s="5" t="s">
        <v>43</v>
      </c>
      <c r="C11" s="9">
        <v>45355</v>
      </c>
    </row>
    <row r="12" spans="1:3" x14ac:dyDescent="0.35">
      <c r="A12" s="1" t="s">
        <v>24</v>
      </c>
      <c r="B12" s="1" t="s">
        <v>46</v>
      </c>
      <c r="C12" s="2">
        <v>45355</v>
      </c>
    </row>
    <row r="13" spans="1:3" x14ac:dyDescent="0.35">
      <c r="A13" s="5" t="s">
        <v>23</v>
      </c>
      <c r="B13" s="5" t="s">
        <v>45</v>
      </c>
      <c r="C13" s="9">
        <v>45701</v>
      </c>
    </row>
    <row r="14" spans="1:3" x14ac:dyDescent="0.35">
      <c r="A14" s="1" t="s">
        <v>12</v>
      </c>
      <c r="B14" s="1" t="s">
        <v>34</v>
      </c>
      <c r="C14" s="2">
        <v>45702</v>
      </c>
    </row>
    <row r="15" spans="1:3" x14ac:dyDescent="0.35">
      <c r="A15" s="1" t="s">
        <v>14</v>
      </c>
      <c r="B15" s="1" t="s">
        <v>36</v>
      </c>
      <c r="C15" s="2">
        <v>45702</v>
      </c>
    </row>
    <row r="16" spans="1:3" x14ac:dyDescent="0.35">
      <c r="A16" s="5" t="s">
        <v>15</v>
      </c>
      <c r="B16" s="5" t="s">
        <v>37</v>
      </c>
      <c r="C16" s="9">
        <v>45702</v>
      </c>
    </row>
    <row r="17" spans="1:3" x14ac:dyDescent="0.35">
      <c r="A17" s="5" t="s">
        <v>13</v>
      </c>
      <c r="B17" s="5" t="s">
        <v>35</v>
      </c>
      <c r="C17" s="9">
        <v>45705</v>
      </c>
    </row>
    <row r="18" spans="1:3" x14ac:dyDescent="0.35">
      <c r="A18" s="1" t="s">
        <v>22</v>
      </c>
      <c r="B18" s="1" t="s">
        <v>44</v>
      </c>
      <c r="C18" s="2">
        <v>45706</v>
      </c>
    </row>
    <row r="19" spans="1:3" x14ac:dyDescent="0.35">
      <c r="A19" s="5" t="s">
        <v>19</v>
      </c>
      <c r="B19" s="5" t="s">
        <v>41</v>
      </c>
      <c r="C19" s="9">
        <v>45806</v>
      </c>
    </row>
    <row r="20" spans="1:3" x14ac:dyDescent="0.35">
      <c r="A20" s="6" t="s">
        <v>25</v>
      </c>
      <c r="B20" s="6" t="s">
        <v>47</v>
      </c>
      <c r="C20" s="10">
        <v>46044</v>
      </c>
    </row>
    <row r="21" spans="1:3" x14ac:dyDescent="0.35">
      <c r="A21" s="7" t="s">
        <v>26</v>
      </c>
      <c r="B21" s="7" t="s">
        <v>48</v>
      </c>
      <c r="C21" s="11">
        <v>46044</v>
      </c>
    </row>
    <row r="22" spans="1:3" x14ac:dyDescent="0.35">
      <c r="A22" s="1" t="s">
        <v>28</v>
      </c>
      <c r="B22" s="1" t="s">
        <v>50</v>
      </c>
      <c r="C22" s="2">
        <v>46044</v>
      </c>
    </row>
    <row r="23" spans="1:3" x14ac:dyDescent="0.35">
      <c r="A23" s="6" t="s">
        <v>27</v>
      </c>
      <c r="B23" s="6" t="s">
        <v>49</v>
      </c>
      <c r="C23" s="10">
        <v>46048</v>
      </c>
    </row>
  </sheetData>
  <autoFilter ref="A1:C23" xr:uid="{393F381C-8CBF-446A-9253-195F23709E46}">
    <sortState xmlns:xlrd2="http://schemas.microsoft.com/office/spreadsheetml/2017/richdata2" ref="A2:C23">
      <sortCondition ref="C1:C23"/>
    </sortState>
  </autoFilter>
  <conditionalFormatting sqref="A2:A23">
    <cfRule type="containsText" dxfId="1" priority="1" stopIfTrue="1" operator="containsText" text="BTP">
      <formula>NOT(ISERROR(SEARCH("BTP",A2)))</formula>
    </cfRule>
    <cfRule type="expression" dxfId="0" priority="2" stopIfTrue="1">
      <formula>IF(AND(ISNUMBER(SEARCH("H2O", A2)), ISNUMBER(SEARCH("SP", A2))), 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2026-02-06T14:39:21Z</dcterms:modified>
</cp:coreProperties>
</file>