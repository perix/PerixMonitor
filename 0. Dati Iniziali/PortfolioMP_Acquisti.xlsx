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4F31061E-3A9E-4A9A-8DDB-A5C841F3B77E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R4" i="1"/>
  <c r="N4" i="1"/>
  <c r="P4" i="1" s="1"/>
  <c r="J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" i="1"/>
  <c r="J3" i="1"/>
  <c r="J2" i="1"/>
  <c r="H22" i="1"/>
  <c r="I22" i="1" s="1"/>
  <c r="H23" i="1"/>
  <c r="I23" i="1"/>
  <c r="H21" i="1"/>
  <c r="I21" i="1" s="1"/>
  <c r="H20" i="1"/>
  <c r="I20" i="1"/>
  <c r="H2" i="1"/>
  <c r="I2" i="1" s="1"/>
  <c r="H3" i="1"/>
  <c r="I3" i="1" s="1"/>
  <c r="H4" i="1"/>
  <c r="I4" i="1" s="1"/>
  <c r="H5" i="1"/>
  <c r="I5" i="1" s="1"/>
  <c r="H6" i="1"/>
  <c r="I6" i="1" s="1"/>
  <c r="H7" i="1"/>
  <c r="I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<sst xmlns="http://schemas.openxmlformats.org/spreadsheetml/2006/main" count="98" uniqueCount="57">
  <si>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</si>
  <si>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</si>
  <si>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</si>
  <si>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</si>
  <si>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</si>
  <si>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</si>
  <si>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</si>
  <si>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</si>
  <si>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</si>
  <si>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</si>
  <si>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</si>
  <si>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BTP FEBBR 26 0.5%</t>
  </si>
  <si>
    <t>BTP01.03.22-01.04.27</t>
  </si>
  <si>
    <t>FID ASIA AGGR AC EUR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</si>
  <si>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</si>
  <si>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</si>
  <si>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</si>
  <si>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</si>
  <si>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</si>
  <si>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</si>
  <si>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</si>
  <si>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</si>
  <si>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</si>
  <si>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</si>
  <si>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</si>
  <si>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</si>
  <si>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</si>
  <si>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</si>
  <si>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</si>
  <si>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IT0005419848</t>
  </si>
  <si>
    <t>IT0005484552</t>
  </si>
  <si>
    <t>LU0345361124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</si>
  <si>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</si>
  <si>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</si>
  <si>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</si>
  <si>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</si>
  <si>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</si>
  <si>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</si>
  <si>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</si>
  <si>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</si>
  <si>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</si>
  <si>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</si>
  <si>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</si>
  <si>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</si>
  <si>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</si>
  <si>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</si>
  <si>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</si>
  <si>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USD</t>
  </si>
  <si>
    <t>XS3174997521</t>
  </si>
  <si>
    <t>IE000UL6CLP7</t>
  </si>
  <si>
    <t>DE000VJ0K5X0</t>
  </si>
  <si>
    <t>DE000VJ20861</t>
  </si>
  <si>
    <t>BSKT/BNPI 28</t>
  </si>
  <si>
    <t>GLB X SILV USD-A EUR</t>
  </si>
  <si>
    <t>VON EXPE28</t>
  </si>
  <si>
    <t>VON EXPE29</t>
  </si>
  <si>
    <t>Controvalore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</si>
</sst>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2" borderId="1" xfId="0" applyNumberFormat="1" applyFill="1" applyBorder="1"/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8" fontId="0" fillId="0" borderId="5" xfId="0" applyNumberFormat="1" applyBorder="1"/>
    <xf numFmtId="0" fontId="4" fillId="5" borderId="1" xfId="0" applyFont="1" applyFill="1" applyBorder="1" applyAlignment="1">
      <alignment horizontal="center"/>
    </xf>
    <xf numFmtId="8" fontId="0" fillId="0" borderId="0" xfId="0" applyNumberFormat="1" applyFill="1"/>
    <xf numFmtId="8" fontId="0" fillId="4" borderId="6" xfId="0" applyNumberFormat="1" applyFont="1" applyFill="1" applyBorder="1"/>
    <xf numFmtId="14" fontId="0" fillId="0" borderId="1" xfId="0" applyNumberFormat="1" applyFont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21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23" totalsRowShown="0" headerRowDxfId="20" dataDxfId="19" tableBorderDxfId="18">
  <autoFilter ref="A1:J23" xr:uid="{04F4BF02-F5A0-427F-92C4-A60283CF04F1}"/>
  <tableColumns count="10">
    <tableColumn id="1" xr3:uid="{B8061C36-8993-4203-ABD6-C7BF7558D40C}" name="Descrizione Titolo" dataDxfId="17"/>
    <tableColumn id="2" xr3:uid="{C4CDF0AD-2602-44A7-AA26-292542A274A0}" name="ISIN" dataDxfId="16"/>
    <tableColumn id="3" xr3:uid="{0A18EC50-C250-41F4-83C1-E84B3FDD76A5}" name="Quantità" dataDxfId="15"/>
    <tableColumn id="4" xr3:uid="{F21CA34D-52E3-4C7A-A959-24C01F694687}" name="Divisa" dataDxfId="14"/>
    <tableColumn id="5" xr3:uid="{5C9AD5B2-888B-43C8-AC2C-1789ADAB0AD8}" name="Prezzo Carico (EUR)" dataDxfId="13"/>
    <tableColumn id="6" xr3:uid="{1CC3BD49-EF04-4684-84DC-5AB42F08A1CD}" name="Data (acquisto/vendita)" dataDxfId="12"/>
    <tableColumn id="7" xr3:uid="{0B72A75D-196B-42C0-9E49-163198DF8CDB}" name="Operazione" dataDxfId="11"/>
    <tableColumn id="8" xr3:uid="{8C52C664-8EA8-4E89-892F-C9CCC6BB2E54}" name="Prezzo Operazione (EUR)" dataDxfId="10">
      <calculatedColumnFormula>+Table1[[#This Row],[Prezzo Carico (EUR)]]</calculatedColumnFormula>
    </tableColumn>
    <tableColumn id="9" xr3:uid="{20AB3F10-3CEF-4BB7-ACA8-F58F613D5EBF}" name="Prezzo Corrente (EUR)" dataDxfId="9">
      <calculatedColumnFormula>+Table1[[#This Row],[Prezzo Operazione (EUR)]]</calculatedColumnFormula>
    </tableColumn>
    <tableColumn id="10" xr3:uid="{7F8241B6-2FCB-4564-8F24-4D4146A82E8B}" name="Controvalore (EUR)" dataDxfId="8">
      <calculatedColumnFormula>+Table1[[#This Row],[Quantità]]*Table1[[#This Row],[Prezzo Carico (EUR)]]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R23"/>
  <sheetViews>
    <sheetView showGridLines="0" tabSelected="1" workbookViewId="0">
      <selection activeCell="O3" sqref="O3"/>
    </sheetView>
  </sheetViews>
  <sheetFormatPr defaultRowHeight="14.5" x14ac:dyDescent="0.35"/>
  <cols>
    <col min="1" max="1" width="29.453125" bestFit="1" customWidth="1"/>
    <col min="2" max="2" width="19.453125" customWidth="1"/>
    <col min="3" max="3" width="13" customWidth="1"/>
    <col min="4" max="4" width="17.6328125" customWidth="1"/>
    <col min="5" max="5" width="19.08984375" customWidth="1"/>
    <col min="6" max="6" width="22.6328125" customWidth="1"/>
    <col min="7" max="7" width="16.54296875" customWidth="1"/>
    <col min="8" max="8" width="23.08984375" customWidth="1"/>
    <col min="9" max="9" width="21.90625" customWidth="1"/>
    <col min="10" max="10" width="24.54296875" customWidth="1"/>
    <col min="14" max="14" width="10.7265625" bestFit="1" customWidth="1"/>
    <col min="15" max="15" width="10.7265625" customWidth="1"/>
    <col min="16" max="16" width="13.08984375" bestFit="1" customWidth="1"/>
  </cols>
  <sheetData>
    <row r="1" spans="1:18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9</v>
      </c>
      <c r="I1" s="9" t="s">
        <v>8</v>
      </c>
      <c r="J1" s="19" t="s">
        <v>56</v>
      </c>
    </row>
    <row r="2" spans="1:18" x14ac:dyDescent="0.35">
      <c r="A2" s="10" t="s">
        <v>11</v>
      </c>
      <c r="B2" s="10" t="s">
        <v>29</v>
      </c>
      <c r="C2" s="2">
        <v>200</v>
      </c>
      <c r="D2" s="11" t="s">
        <v>7</v>
      </c>
      <c r="E2" s="13">
        <v>91.314800000000005</v>
      </c>
      <c r="F2" s="12">
        <v>45002</v>
      </c>
      <c r="G2" s="3" t="s">
        <v>10</v>
      </c>
      <c r="H2" s="4">
        <f>+Table1[[#This Row],[Prezzo Carico (EUR)]]</f>
        <v>91.314800000000005</v>
      </c>
      <c r="I2" s="4">
        <f>+Table1[[#This Row],[Prezzo Operazione (EUR)]]</f>
        <v>91.314800000000005</v>
      </c>
      <c r="J2" s="20">
        <f>+Table1[[#This Row],[Quantità]]*Table1[[#This Row],[Prezzo Carico (EUR)]]</f>
        <v>18262.960000000003</v>
      </c>
    </row>
    <row r="3" spans="1:18" x14ac:dyDescent="0.35">
      <c r="A3" s="10" t="s">
        <v>12</v>
      </c>
      <c r="B3" s="10" t="s">
        <v>30</v>
      </c>
      <c r="C3" s="2">
        <v>250</v>
      </c>
      <c r="D3" s="11" t="s">
        <v>7</v>
      </c>
      <c r="E3" s="13">
        <v>90.38</v>
      </c>
      <c r="F3" s="12">
        <v>45002</v>
      </c>
      <c r="G3" s="3" t="s">
        <v>10</v>
      </c>
      <c r="H3" s="4">
        <f>+Table1[[#This Row],[Prezzo Carico (EUR)]]</f>
        <v>90.38</v>
      </c>
      <c r="I3" s="4">
        <f>+Table1[[#This Row],[Prezzo Operazione (EUR)]]</f>
        <v>90.38</v>
      </c>
      <c r="J3" s="20">
        <f>+Table1[[#This Row],[Quantità]]*Table1[[#This Row],[Prezzo Carico (EUR)]]</f>
        <v>22595</v>
      </c>
      <c r="N3" s="21">
        <v>-22708.055199999999</v>
      </c>
      <c r="O3" s="23">
        <v>45355</v>
      </c>
    </row>
    <row r="4" spans="1:18" x14ac:dyDescent="0.35">
      <c r="A4" s="10" t="s">
        <v>13</v>
      </c>
      <c r="B4" s="10" t="s">
        <v>31</v>
      </c>
      <c r="C4" s="2">
        <v>786.29</v>
      </c>
      <c r="D4" s="11" t="s">
        <v>7</v>
      </c>
      <c r="E4" s="2">
        <v>28.88</v>
      </c>
      <c r="F4" s="12">
        <v>45355</v>
      </c>
      <c r="G4" s="3" t="s">
        <v>10</v>
      </c>
      <c r="H4" s="4">
        <f>+Table1[[#This Row],[Prezzo Carico (EUR)]]</f>
        <v>28.88</v>
      </c>
      <c r="I4" s="4">
        <f>+Table1[[#This Row],[Prezzo Operazione (EUR)]]</f>
        <v>28.88</v>
      </c>
      <c r="J4" s="20">
        <f>+Table1[[#This Row],[Quantità]]*Table1[[#This Row],[Prezzo Carico (EUR)]]</f>
        <v>22708.055199999999</v>
      </c>
      <c r="M4" s="4">
        <v>32.729999999999997</v>
      </c>
      <c r="N4" s="4">
        <f>+C4*M4</f>
        <v>25735.271699999998</v>
      </c>
      <c r="O4" s="22">
        <f ca="1">TODAY()</f>
        <v>46048</v>
      </c>
      <c r="P4" s="4">
        <f>+N4-J4</f>
        <v>3027.2164999999986</v>
      </c>
      <c r="R4" s="24">
        <f ca="1">XIRR(N3:N4,O3:O4)</f>
        <v>6.8132868409156805E-2</v>
      </c>
    </row>
    <row r="5" spans="1:18" x14ac:dyDescent="0.35">
      <c r="A5" s="10" t="s">
        <v>14</v>
      </c>
      <c r="B5" s="10" t="s">
        <v>32</v>
      </c>
      <c r="C5" s="2">
        <v>808.88599999999997</v>
      </c>
      <c r="D5" s="11" t="s">
        <v>7</v>
      </c>
      <c r="E5" s="2">
        <v>117.33</v>
      </c>
      <c r="F5" s="12">
        <v>45355</v>
      </c>
      <c r="G5" s="3" t="s">
        <v>10</v>
      </c>
      <c r="H5" s="4">
        <f>+Table1[[#This Row],[Prezzo Carico (EUR)]]</f>
        <v>117.33</v>
      </c>
      <c r="I5" s="4">
        <f>+Table1[[#This Row],[Prezzo Operazione (EUR)]]</f>
        <v>117.33</v>
      </c>
      <c r="J5" s="20">
        <f>+Table1[[#This Row],[Quantità]]*Table1[[#This Row],[Prezzo Carico (EUR)]]</f>
        <v>94906.594379999995</v>
      </c>
    </row>
    <row r="6" spans="1:18" x14ac:dyDescent="0.35">
      <c r="A6" s="10" t="s">
        <v>15</v>
      </c>
      <c r="B6" s="10" t="s">
        <v>33</v>
      </c>
      <c r="C6" s="2">
        <v>255.42699999999999</v>
      </c>
      <c r="D6" s="11" t="s">
        <v>7</v>
      </c>
      <c r="E6" s="2">
        <v>242.5</v>
      </c>
      <c r="F6" s="12">
        <v>45355</v>
      </c>
      <c r="G6" s="3" t="s">
        <v>10</v>
      </c>
      <c r="H6" s="4">
        <f>+Table1[[#This Row],[Prezzo Carico (EUR)]]</f>
        <v>242.5</v>
      </c>
      <c r="I6" s="4">
        <f>+Table1[[#This Row],[Prezzo Operazione (EUR)]]</f>
        <v>242.5</v>
      </c>
      <c r="J6" s="20">
        <f>+Table1[[#This Row],[Quantità]]*Table1[[#This Row],[Prezzo Carico (EUR)]]</f>
        <v>61941.047500000001</v>
      </c>
    </row>
    <row r="7" spans="1:18" x14ac:dyDescent="0.35">
      <c r="A7" s="10" t="s">
        <v>16</v>
      </c>
      <c r="B7" s="10" t="s">
        <v>34</v>
      </c>
      <c r="C7" s="2">
        <v>570</v>
      </c>
      <c r="D7" s="11" t="s">
        <v>7</v>
      </c>
      <c r="E7" s="13">
        <v>8.8187540000000002</v>
      </c>
      <c r="F7" s="12">
        <v>45702</v>
      </c>
      <c r="G7" s="3" t="s">
        <v>10</v>
      </c>
      <c r="H7" s="4">
        <f>+Table1[[#This Row],[Prezzo Carico (EUR)]]</f>
        <v>8.8187540000000002</v>
      </c>
      <c r="I7" s="4">
        <f>+Table1[[#This Row],[Prezzo Operazione (EUR)]]</f>
        <v>8.8187540000000002</v>
      </c>
      <c r="J7" s="20">
        <f>+Table1[[#This Row],[Quantità]]*Table1[[#This Row],[Prezzo Carico (EUR)]]</f>
        <v>5026.6897799999997</v>
      </c>
    </row>
    <row r="8" spans="1:18" x14ac:dyDescent="0.35">
      <c r="A8" s="10" t="s">
        <v>17</v>
      </c>
      <c r="B8" s="10" t="s">
        <v>35</v>
      </c>
      <c r="C8" s="2">
        <v>47</v>
      </c>
      <c r="D8" s="11" t="s">
        <v>7</v>
      </c>
      <c r="E8" s="2">
        <v>108.097021</v>
      </c>
      <c r="F8" s="12">
        <v>45705</v>
      </c>
      <c r="G8" s="3" t="s">
        <v>10</v>
      </c>
      <c r="H8" s="4">
        <f>+Table1[[#This Row],[Prezzo Carico (EUR)]]</f>
        <v>108.097021</v>
      </c>
      <c r="I8" s="4">
        <f>+Table1[[#This Row],[Prezzo Operazione (EUR)]]</f>
        <v>108.097021</v>
      </c>
      <c r="J8" s="20">
        <f>+Table1[[#This Row],[Quantità]]*Table1[[#This Row],[Prezzo Carico (EUR)]]</f>
        <v>5080.5599869999996</v>
      </c>
    </row>
    <row r="9" spans="1:18" x14ac:dyDescent="0.35">
      <c r="A9" s="10" t="s">
        <v>18</v>
      </c>
      <c r="B9" s="10" t="s">
        <v>36</v>
      </c>
      <c r="C9" s="2">
        <v>945.54899999999998</v>
      </c>
      <c r="D9" s="11" t="s">
        <v>7</v>
      </c>
      <c r="E9" s="2">
        <v>16.910799999999998</v>
      </c>
      <c r="F9" s="12">
        <v>45702</v>
      </c>
      <c r="G9" s="3" t="s">
        <v>10</v>
      </c>
      <c r="H9" s="4">
        <f>+Table1[[#This Row],[Prezzo Carico (EUR)]]</f>
        <v>16.910799999999998</v>
      </c>
      <c r="I9" s="4">
        <f>+Table1[[#This Row],[Prezzo Operazione (EUR)]]</f>
        <v>16.910799999999998</v>
      </c>
      <c r="J9" s="20">
        <f>+Table1[[#This Row],[Quantità]]*Table1[[#This Row],[Prezzo Carico (EUR)]]</f>
        <v>15989.990029199998</v>
      </c>
    </row>
    <row r="10" spans="1:18" x14ac:dyDescent="0.35">
      <c r="A10" s="10" t="s">
        <v>19</v>
      </c>
      <c r="B10" s="10" t="s">
        <v>37</v>
      </c>
      <c r="C10" s="2">
        <v>3198</v>
      </c>
      <c r="D10" s="11" t="s">
        <v>7</v>
      </c>
      <c r="E10" s="2">
        <v>5</v>
      </c>
      <c r="F10" s="12">
        <v>45702</v>
      </c>
      <c r="G10" s="3" t="s">
        <v>10</v>
      </c>
      <c r="H10" s="4">
        <f>+Table1[[#This Row],[Prezzo Carico (EUR)]]</f>
        <v>5</v>
      </c>
      <c r="I10" s="4">
        <f>+Table1[[#This Row],[Prezzo Operazione (EUR)]]</f>
        <v>5</v>
      </c>
      <c r="J10" s="20">
        <f>+Table1[[#This Row],[Quantità]]*Table1[[#This Row],[Prezzo Carico (EUR)]]</f>
        <v>15990</v>
      </c>
    </row>
    <row r="11" spans="1:18" x14ac:dyDescent="0.35">
      <c r="A11" s="10" t="s">
        <v>20</v>
      </c>
      <c r="B11" s="10" t="s">
        <v>38</v>
      </c>
      <c r="C11" s="2">
        <v>104.37</v>
      </c>
      <c r="D11" s="11" t="s">
        <v>47</v>
      </c>
      <c r="E11" s="2">
        <v>198.97</v>
      </c>
      <c r="F11" s="12">
        <v>45355</v>
      </c>
      <c r="G11" s="3" t="s">
        <v>10</v>
      </c>
      <c r="H11" s="4">
        <f>+Table1[[#This Row],[Prezzo Carico (EUR)]]</f>
        <v>198.97</v>
      </c>
      <c r="I11" s="4">
        <f>+Table1[[#This Row],[Prezzo Operazione (EUR)]]</f>
        <v>198.97</v>
      </c>
      <c r="J11" s="20">
        <f>+Table1[[#This Row],[Quantità]]*Table1[[#This Row],[Prezzo Carico (EUR)]]</f>
        <v>20766.498900000002</v>
      </c>
    </row>
    <row r="12" spans="1:18" x14ac:dyDescent="0.35">
      <c r="A12" s="10" t="s">
        <v>21</v>
      </c>
      <c r="B12" s="10" t="s">
        <v>39</v>
      </c>
      <c r="C12" s="2">
        <v>207.953</v>
      </c>
      <c r="D12" s="11" t="s">
        <v>47</v>
      </c>
      <c r="E12" s="2">
        <v>117.95</v>
      </c>
      <c r="F12" s="12">
        <v>45355</v>
      </c>
      <c r="G12" s="3" t="s">
        <v>10</v>
      </c>
      <c r="H12" s="4">
        <f>+Table1[[#This Row],[Prezzo Carico (EUR)]]</f>
        <v>117.95</v>
      </c>
      <c r="I12" s="4">
        <f>+Table1[[#This Row],[Prezzo Operazione (EUR)]]</f>
        <v>117.95</v>
      </c>
      <c r="J12" s="20">
        <f>+Table1[[#This Row],[Quantità]]*Table1[[#This Row],[Prezzo Carico (EUR)]]</f>
        <v>24528.056350000003</v>
      </c>
    </row>
    <row r="13" spans="1:18" x14ac:dyDescent="0.35">
      <c r="A13" s="10" t="s">
        <v>22</v>
      </c>
      <c r="B13" s="10" t="s">
        <v>40</v>
      </c>
      <c r="C13" s="2">
        <v>448.18400000000003</v>
      </c>
      <c r="D13" s="11" t="s">
        <v>7</v>
      </c>
      <c r="E13" s="2">
        <v>32.000999999999998</v>
      </c>
      <c r="F13" s="12">
        <v>45355</v>
      </c>
      <c r="G13" s="3" t="s">
        <v>10</v>
      </c>
      <c r="H13" s="4">
        <f>+Table1[[#This Row],[Prezzo Carico (EUR)]]</f>
        <v>32.000999999999998</v>
      </c>
      <c r="I13" s="4">
        <f>+Table1[[#This Row],[Prezzo Operazione (EUR)]]</f>
        <v>32.000999999999998</v>
      </c>
      <c r="J13" s="20">
        <f>+Table1[[#This Row],[Quantità]]*Table1[[#This Row],[Prezzo Carico (EUR)]]</f>
        <v>14342.336184</v>
      </c>
    </row>
    <row r="14" spans="1:18" x14ac:dyDescent="0.35">
      <c r="A14" s="10" t="s">
        <v>23</v>
      </c>
      <c r="B14" s="10" t="s">
        <v>41</v>
      </c>
      <c r="C14" s="2">
        <v>117.944</v>
      </c>
      <c r="D14" s="11" t="s">
        <v>7</v>
      </c>
      <c r="E14" s="2">
        <v>188.5</v>
      </c>
      <c r="F14" s="12">
        <v>45806</v>
      </c>
      <c r="G14" s="3" t="s">
        <v>10</v>
      </c>
      <c r="H14" s="4">
        <f>+Table1[[#This Row],[Prezzo Carico (EUR)]]</f>
        <v>188.5</v>
      </c>
      <c r="I14" s="4">
        <f>+Table1[[#This Row],[Prezzo Operazione (EUR)]]</f>
        <v>188.5</v>
      </c>
      <c r="J14" s="20">
        <f>+Table1[[#This Row],[Quantità]]*Table1[[#This Row],[Prezzo Carico (EUR)]]</f>
        <v>22232.444</v>
      </c>
    </row>
    <row r="15" spans="1:18" x14ac:dyDescent="0.35">
      <c r="A15" s="10" t="s">
        <v>24</v>
      </c>
      <c r="B15" s="10" t="s">
        <v>42</v>
      </c>
      <c r="C15" s="2">
        <v>290.43</v>
      </c>
      <c r="D15" s="11" t="s">
        <v>7</v>
      </c>
      <c r="E15" s="2">
        <v>83.850999999999999</v>
      </c>
      <c r="F15" s="12">
        <v>45355</v>
      </c>
      <c r="G15" s="3" t="s">
        <v>10</v>
      </c>
      <c r="H15" s="4">
        <f>+Table1[[#This Row],[Prezzo Carico (EUR)]]</f>
        <v>83.850999999999999</v>
      </c>
      <c r="I15" s="4">
        <f>+Table1[[#This Row],[Prezzo Operazione (EUR)]]</f>
        <v>83.850999999999999</v>
      </c>
      <c r="J15" s="20">
        <f>+Table1[[#This Row],[Quantità]]*Table1[[#This Row],[Prezzo Carico (EUR)]]</f>
        <v>24352.845929999999</v>
      </c>
    </row>
    <row r="16" spans="1:18" x14ac:dyDescent="0.35">
      <c r="A16" s="10" t="s">
        <v>25</v>
      </c>
      <c r="B16" s="10" t="s">
        <v>43</v>
      </c>
      <c r="C16" s="2">
        <v>586.02</v>
      </c>
      <c r="D16" s="11" t="s">
        <v>7</v>
      </c>
      <c r="E16" s="2">
        <v>19.100000000000001</v>
      </c>
      <c r="F16" s="12">
        <v>45355</v>
      </c>
      <c r="G16" s="3" t="s">
        <v>10</v>
      </c>
      <c r="H16" s="4">
        <f>+Table1[[#This Row],[Prezzo Carico (EUR)]]</f>
        <v>19.100000000000001</v>
      </c>
      <c r="I16" s="4">
        <f>+Table1[[#This Row],[Prezzo Operazione (EUR)]]</f>
        <v>19.100000000000001</v>
      </c>
      <c r="J16" s="20">
        <f>+Table1[[#This Row],[Quantità]]*Table1[[#This Row],[Prezzo Carico (EUR)]]</f>
        <v>11192.982</v>
      </c>
    </row>
    <row r="17" spans="1:18" x14ac:dyDescent="0.35">
      <c r="A17" s="10" t="s">
        <v>26</v>
      </c>
      <c r="B17" s="10" t="s">
        <v>44</v>
      </c>
      <c r="C17" s="2">
        <v>86</v>
      </c>
      <c r="D17" s="11" t="s">
        <v>7</v>
      </c>
      <c r="E17" s="2">
        <v>93.194999999999993</v>
      </c>
      <c r="F17" s="12">
        <v>45706</v>
      </c>
      <c r="G17" s="3" t="s">
        <v>10</v>
      </c>
      <c r="H17" s="4">
        <f>+Table1[[#This Row],[Prezzo Carico (EUR)]]</f>
        <v>93.194999999999993</v>
      </c>
      <c r="I17" s="4">
        <f>+Table1[[#This Row],[Prezzo Operazione (EUR)]]</f>
        <v>93.194999999999993</v>
      </c>
      <c r="J17" s="20">
        <f>+Table1[[#This Row],[Quantità]]*Table1[[#This Row],[Prezzo Carico (EUR)]]</f>
        <v>8014.7699999999995</v>
      </c>
    </row>
    <row r="18" spans="1:18" x14ac:dyDescent="0.35">
      <c r="A18" s="10" t="s">
        <v>27</v>
      </c>
      <c r="B18" s="10" t="s">
        <v>45</v>
      </c>
      <c r="C18" s="2">
        <v>99.85</v>
      </c>
      <c r="D18" s="11" t="s">
        <v>7</v>
      </c>
      <c r="E18" s="2">
        <v>100</v>
      </c>
      <c r="F18" s="12">
        <v>45701</v>
      </c>
      <c r="G18" s="3" t="s">
        <v>10</v>
      </c>
      <c r="H18" s="4">
        <f>+Table1[[#This Row],[Prezzo Carico (EUR)]]</f>
        <v>100</v>
      </c>
      <c r="I18" s="4">
        <f>+Table1[[#This Row],[Prezzo Operazione (EUR)]]</f>
        <v>100</v>
      </c>
      <c r="J18" s="20">
        <f>+Table1[[#This Row],[Quantità]]*Table1[[#This Row],[Prezzo Carico (EUR)]]</f>
        <v>9985</v>
      </c>
    </row>
    <row r="19" spans="1:18" x14ac:dyDescent="0.35">
      <c r="A19" s="10" t="s">
        <v>28</v>
      </c>
      <c r="B19" s="10" t="s">
        <v>46</v>
      </c>
      <c r="C19" s="2">
        <v>200</v>
      </c>
      <c r="D19" s="11" t="s">
        <v>7</v>
      </c>
      <c r="E19" s="2">
        <v>97.14</v>
      </c>
      <c r="F19" s="12">
        <v>45355</v>
      </c>
      <c r="G19" s="3" t="s">
        <v>10</v>
      </c>
      <c r="H19" s="4">
        <f>+Table1[[#This Row],[Prezzo Carico (EUR)]]</f>
        <v>97.14</v>
      </c>
      <c r="I19" s="4">
        <f>+Table1[[#This Row],[Prezzo Operazione (EUR)]]</f>
        <v>97.14</v>
      </c>
      <c r="J19" s="20">
        <f>+Table1[[#This Row],[Quantità]]*Table1[[#This Row],[Prezzo Carico (EUR)]]</f>
        <v>19428</v>
      </c>
    </row>
    <row r="20" spans="1:18" x14ac:dyDescent="0.35">
      <c r="A20" s="14" t="s">
        <v>52</v>
      </c>
      <c r="B20" s="14" t="s">
        <v>48</v>
      </c>
      <c r="C20" s="15">
        <v>155</v>
      </c>
      <c r="D20" s="11" t="s">
        <v>7</v>
      </c>
      <c r="E20" s="2">
        <v>94.621290000000002</v>
      </c>
      <c r="F20" s="17">
        <v>46044</v>
      </c>
      <c r="G20" s="3" t="s">
        <v>10</v>
      </c>
      <c r="H20" s="18">
        <f>+Table1[[#This Row],[Prezzo Carico (EUR)]]</f>
        <v>94.621290000000002</v>
      </c>
      <c r="I20" s="18">
        <f>+Table1[[#This Row],[Prezzo Operazione (EUR)]]</f>
        <v>94.621290000000002</v>
      </c>
      <c r="J20" s="20">
        <f>+Table1[[#This Row],[Quantità]]*Table1[[#This Row],[Prezzo Carico (EUR)]]</f>
        <v>14666.299950000001</v>
      </c>
      <c r="M20" s="1"/>
      <c r="R20" s="1"/>
    </row>
    <row r="21" spans="1:18" x14ac:dyDescent="0.35">
      <c r="A21" s="14" t="s">
        <v>53</v>
      </c>
      <c r="B21" s="14" t="s">
        <v>49</v>
      </c>
      <c r="C21" s="15">
        <v>2387</v>
      </c>
      <c r="D21" s="16" t="s">
        <v>7</v>
      </c>
      <c r="E21" s="2">
        <v>42.381138999999997</v>
      </c>
      <c r="F21" s="17">
        <v>46044</v>
      </c>
      <c r="G21" s="3" t="s">
        <v>10</v>
      </c>
      <c r="H21" s="18">
        <f>+Table1[[#This Row],[Prezzo Carico (EUR)]]</f>
        <v>42.381138999999997</v>
      </c>
      <c r="I21" s="18">
        <f>+Table1[[#This Row],[Prezzo Operazione (EUR)]]</f>
        <v>42.381138999999997</v>
      </c>
      <c r="J21" s="20">
        <f>+Table1[[#This Row],[Quantità]]*Table1[[#This Row],[Prezzo Carico (EUR)]]</f>
        <v>101163.77879299999</v>
      </c>
    </row>
    <row r="22" spans="1:18" x14ac:dyDescent="0.35">
      <c r="A22" s="10" t="s">
        <v>54</v>
      </c>
      <c r="B22" s="10" t="s">
        <v>50</v>
      </c>
      <c r="C22" s="2">
        <v>15</v>
      </c>
      <c r="D22" s="11" t="s">
        <v>7</v>
      </c>
      <c r="E22" s="2">
        <v>1009.464666</v>
      </c>
      <c r="F22" s="12">
        <v>46048</v>
      </c>
      <c r="G22" s="3" t="s">
        <v>10</v>
      </c>
      <c r="H22" s="4">
        <f>+Table1[[#This Row],[Prezzo Carico (EUR)]]</f>
        <v>1009.464666</v>
      </c>
      <c r="I22" s="4">
        <f>+Table1[[#This Row],[Prezzo Operazione (EUR)]]</f>
        <v>1009.464666</v>
      </c>
      <c r="J22" s="20">
        <f>+Table1[[#This Row],[Quantità]]*Table1[[#This Row],[Prezzo Carico (EUR)]]</f>
        <v>15141.96999</v>
      </c>
      <c r="M22" s="1"/>
      <c r="R22" s="1"/>
    </row>
    <row r="23" spans="1:18" x14ac:dyDescent="0.35">
      <c r="A23" s="14" t="s">
        <v>55</v>
      </c>
      <c r="B23" s="14" t="s">
        <v>51</v>
      </c>
      <c r="C23" s="15">
        <v>205</v>
      </c>
      <c r="D23" s="11" t="s">
        <v>7</v>
      </c>
      <c r="E23" s="2">
        <v>97.021951000000001</v>
      </c>
      <c r="F23" s="17">
        <v>46044</v>
      </c>
      <c r="G23" s="3" t="s">
        <v>10</v>
      </c>
      <c r="H23" s="18">
        <f>+Table1[[#This Row],[Prezzo Carico (EUR)]]</f>
        <v>97.021951000000001</v>
      </c>
      <c r="I23" s="18">
        <f>+Table1[[#This Row],[Prezzo Operazione (EUR)]]</f>
        <v>97.021951000000001</v>
      </c>
      <c r="J23" s="20">
        <f>+Table1[[#This Row],[Quantità]]*Table1[[#This Row],[Prezzo Carico (EUR)]]</f>
        <v>19889.499954999999</v>
      </c>
      <c r="M23" s="1"/>
      <c r="R23" s="1"/>
    </row>
  </sheetData>
  <conditionalFormatting sqref="A2:A23">
    <cfRule type="containsText" dxfId="7" priority="16" stopIfTrue="1" operator="containsText" text="BTP">
      <formula>NOT(ISERROR(SEARCH("BTP",A2)))</formula>
    </cfRule>
    <cfRule type="expression" dxfId="6" priority="17" stopIfTrue="1">
      <formula>IF(AND(ISNUMBER(SEARCH("H2O", A2)), ISNUMBER(SEARCH("SP", A2))), 1,0)</formula>
    </cfRule>
  </conditionalFormatting>
  <conditionalFormatting sqref="C2:C23">
    <cfRule type="containsBlanks" dxfId="5" priority="14">
      <formula>LEN(TRIM(C2))=0</formula>
    </cfRule>
  </conditionalFormatting>
  <conditionalFormatting sqref="D2:D23">
    <cfRule type="notContainsText" dxfId="4" priority="18" stopIfTrue="1" operator="notContains" text="EUR">
      <formula>ISERROR(SEARCH("EUR",D2))</formula>
    </cfRule>
    <cfRule type="containsBlanks" dxfId="3" priority="18">
      <formula>LEN(TRIM(D2))=0</formula>
    </cfRule>
  </conditionalFormatting>
  <conditionalFormatting sqref="G2:G23">
    <cfRule type="containsText" dxfId="1" priority="1" operator="containsText" text="Vendita">
      <formula>NOT(ISERROR(SEARCH("Vendita",G2)))</formula>
    </cfRule>
    <cfRule type="containsText" dxfId="0" priority="2" operator="containsText" text="Acquisto">
      <formula>NOT(ISERROR(SEARCH("Acquisto",G2)))</formula>
    </cfRule>
  </conditionalFormatting>
  <dataValidations disablePrompts="1" count="1">
    <dataValidation type="list" allowBlank="1" showInputMessage="1" showErrorMessage="1" sqref="G2:G23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2026-01-26T21:37:29Z</dcterms:modified>
</cp:coreProperties>
</file>