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1D7B8C2F-D53C-4E00-BBC0-AB82EFBA5620}" xr6:coauthVersionLast="47" xr6:coauthVersionMax="47" xr10:uidLastSave="{00000000-0000-0000-0000-000000000000}"/>
  <bookViews>
    <workbookView xWindow="19200" yWindow="600" windowWidth="19200" windowHeight="21000" xr2:uid="{461EA0C3-CC98-4DCD-BC5C-C997A9959903}"/>
  </bookViews>
  <sheets>
    <sheet name="Sheet1" sheetId="1" r:id="rId1"/>
  </sheets>
  <externalReferences>
    <externalReference r:id="rId2"/>
  </externalReferences>
  <definedNames>
    <definedName name="LabTipoEventi">[1]!TipoEventi[Eventi]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B1" authorId="0" shapeId="0" xr:uid="{D78C9E56-5A6E-47E9-BA04-211B82D83F3E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<sst xmlns="http://schemas.openxmlformats.org/spreadsheetml/2006/main" count="53" uniqueCount="13">
  <si>
    <t>Descrizione Titolo</t>
  </si>
  <si>
    <t>ISIN</t>
  </si>
  <si>
    <t>BTP FEBBR 26 0.5%</t>
  </si>
  <si>
    <t>BTP01.03.22-01.04.27</t>
  </si>
  <si>
    <t>FID GLO QLTY USD EUR</t>
  </si>
  <si>
    <t>IT0005419848</t>
  </si>
  <si>
    <t>IT0005484552</t>
  </si>
  <si>
    <t>IE00BYXVGZ48</t>
  </si>
  <si>
    <t>Valore Cedola (EUR)</t>
  </si>
  <si>
    <t>Fees</t>
  </si>
  <si>
    <t>Fee</t>
  </si>
  <si>
    <t>Cedole</t>
  </si>
  <si>
    <t>Data Flusso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</si>
</sst>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_ ;[Red]\-0.00\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4" xfId="0" applyFill="1" applyBorder="1" applyAlignment="1">
      <alignment horizontal="center"/>
    </xf>
    <xf numFmtId="14" fontId="0" fillId="0" borderId="5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5" fillId="0" borderId="3" xfId="0" applyFont="1" applyFill="1" applyBorder="1"/>
    <xf numFmtId="166" fontId="0" fillId="0" borderId="1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0" fontId="0" fillId="0" borderId="1" xfId="0" applyFont="1" applyFill="1" applyBorder="1"/>
    <xf numFmtId="166" fontId="0" fillId="0" borderId="6" xfId="0" applyNumberForma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ont="1" applyFill="1" applyBorder="1"/>
    <xf numFmtId="0" fontId="5" fillId="0" borderId="6" xfId="0" applyFont="1" applyFill="1" applyBorder="1"/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66" formatCode="0.00_ ;[Red]\-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border outline="0">
        <left style="thin">
          <color indexed="64"/>
        </left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01.%20Mauro\01.%20Personal%20Data\07.%20Finanza\01.1%20Banca\2.1%20Mediobanca%20MP\0.%20Dashboard%20Portafoglio%20-%2072531340%20(MP).xlsm" TargetMode="External"/><Relationship Id="rId1" Type="http://schemas.openxmlformats.org/officeDocument/2006/relationships/externalLinkPath" Target="file:///R:\01.%20Mauro\01.%20Personal%20Data\07.%20Finanza\01.1%20Banca\2.1%20Mediobanca%20MP\0.%20Dashboard%20Portafoglio%20-%2072531340%20(MP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foglio"/>
      <sheetName val="Dashboard"/>
      <sheetName val="History_Totals"/>
      <sheetName val="History_ISIN"/>
      <sheetName val="AllFlux"/>
      <sheetName val="Inflation"/>
      <sheetName val="Minus"/>
      <sheetName val="0002"/>
      <sheetName val="0003"/>
      <sheetName val="0004"/>
      <sheetName val="0005"/>
      <sheetName val="0006"/>
      <sheetName val="0007"/>
      <sheetName val="0016"/>
      <sheetName val="0008"/>
      <sheetName val="0009"/>
      <sheetName val="0010"/>
      <sheetName val="0011"/>
      <sheetName val="0012"/>
      <sheetName val="0013"/>
      <sheetName val="0015"/>
      <sheetName val="0017"/>
      <sheetName val="0014"/>
      <sheetName val="0018"/>
      <sheetName val="9999"/>
      <sheetName val="0001"/>
      <sheetName val="Simul1"/>
      <sheetName val="Simul1 1.1"/>
      <sheetName val="Simul2"/>
      <sheetName val="Costan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E4576-C4BF-4D57-BFB0-E7956B4D1578}" name="Table2" displayName="Table2" ref="A1:E17" totalsRowShown="0" dataDxfId="12" tableBorderDxfId="27">
  <autoFilter ref="A1:E17" xr:uid="{144E4576-C4BF-4D57-BFB0-E7956B4D1578}"/>
  <tableColumns count="5">
    <tableColumn id="1" xr3:uid="{DDF13CAD-D240-45BF-ADB3-9429ECC21D5D}" name="ISIN" dataDxfId="11"/>
    <tableColumn id="2" xr3:uid="{3FE2DB4A-D852-446E-AD71-89C234144C82}" name="Valore Cedola (EUR)" dataDxfId="9"/>
    <tableColumn id="3" xr3:uid="{E0739D53-4E78-48EA-B1A3-DEB01936853E}" name="Data Flusso" dataDxfId="10"/>
    <tableColumn id="4" xr3:uid="{005FC9CF-D5AA-4EDE-88BA-26D367EB9606}" name="Descrizione Titolo" dataDxfId="14"/>
    <tableColumn id="5" xr3:uid="{23A2B8FF-402D-41E8-B377-3FF149703119}" name="Fees" dataDxfId="1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E17"/>
  <sheetViews>
    <sheetView showGridLines="0" tabSelected="1" workbookViewId="0">
      <selection activeCell="C18" sqref="C18"/>
    </sheetView>
  </sheetViews>
  <sheetFormatPr defaultRowHeight="14.5" x14ac:dyDescent="0.35"/>
  <cols>
    <col min="1" max="1" width="19.7265625" customWidth="1"/>
    <col min="2" max="2" width="19.453125" customWidth="1"/>
    <col min="3" max="3" width="15.54296875" bestFit="1" customWidth="1"/>
    <col min="4" max="4" width="22.90625" customWidth="1"/>
    <col min="5" max="5" width="19.08984375" customWidth="1"/>
    <col min="6" max="6" width="22.6328125" customWidth="1"/>
    <col min="7" max="7" width="16.54296875" customWidth="1"/>
    <col min="8" max="8" width="23.08984375" customWidth="1"/>
    <col min="9" max="9" width="21.90625" customWidth="1"/>
  </cols>
  <sheetData>
    <row r="1" spans="1:5" x14ac:dyDescent="0.35">
      <c r="A1" s="3" t="s">
        <v>1</v>
      </c>
      <c r="B1" s="1" t="s">
        <v>8</v>
      </c>
      <c r="C1" s="2" t="s">
        <v>12</v>
      </c>
      <c r="D1" s="5" t="s">
        <v>0</v>
      </c>
      <c r="E1" s="6" t="s">
        <v>9</v>
      </c>
    </row>
    <row r="2" spans="1:5" x14ac:dyDescent="0.35">
      <c r="A2" s="12" t="s">
        <v>5</v>
      </c>
      <c r="B2" s="13">
        <v>-33.340000000000003</v>
      </c>
      <c r="C2" s="7">
        <v>45002</v>
      </c>
      <c r="D2" s="8" t="s">
        <v>2</v>
      </c>
      <c r="E2" s="9" t="s">
        <v>10</v>
      </c>
    </row>
    <row r="3" spans="1:5" x14ac:dyDescent="0.35">
      <c r="A3" s="12" t="s">
        <v>5</v>
      </c>
      <c r="B3" s="13">
        <v>10.66</v>
      </c>
      <c r="C3" s="7">
        <v>45002</v>
      </c>
      <c r="D3" s="8" t="s">
        <v>2</v>
      </c>
      <c r="E3" s="9" t="s">
        <v>11</v>
      </c>
    </row>
    <row r="4" spans="1:5" x14ac:dyDescent="0.35">
      <c r="A4" s="12" t="s">
        <v>5</v>
      </c>
      <c r="B4" s="13">
        <v>43.75</v>
      </c>
      <c r="C4" s="7">
        <v>45139</v>
      </c>
      <c r="D4" s="8" t="s">
        <v>2</v>
      </c>
      <c r="E4" s="9" t="s">
        <v>11</v>
      </c>
    </row>
    <row r="5" spans="1:5" x14ac:dyDescent="0.35">
      <c r="A5" s="12" t="s">
        <v>5</v>
      </c>
      <c r="B5" s="13">
        <v>35.85</v>
      </c>
      <c r="C5" s="7">
        <v>45323</v>
      </c>
      <c r="D5" s="8" t="s">
        <v>2</v>
      </c>
      <c r="E5" s="9" t="s">
        <v>11</v>
      </c>
    </row>
    <row r="6" spans="1:5" x14ac:dyDescent="0.35">
      <c r="A6" s="12" t="s">
        <v>5</v>
      </c>
      <c r="B6" s="13">
        <v>7.9</v>
      </c>
      <c r="C6" s="7">
        <v>45362</v>
      </c>
      <c r="D6" s="8" t="s">
        <v>2</v>
      </c>
      <c r="E6" s="9" t="s">
        <v>11</v>
      </c>
    </row>
    <row r="7" spans="1:5" x14ac:dyDescent="0.35">
      <c r="A7" s="12" t="s">
        <v>5</v>
      </c>
      <c r="B7" s="13">
        <v>43.75</v>
      </c>
      <c r="C7" s="7">
        <v>45505</v>
      </c>
      <c r="D7" s="8" t="s">
        <v>2</v>
      </c>
      <c r="E7" s="9" t="s">
        <v>11</v>
      </c>
    </row>
    <row r="8" spans="1:5" x14ac:dyDescent="0.35">
      <c r="A8" s="12" t="s">
        <v>5</v>
      </c>
      <c r="B8" s="13">
        <v>43.75</v>
      </c>
      <c r="C8" s="7">
        <v>45691</v>
      </c>
      <c r="D8" s="8" t="s">
        <v>2</v>
      </c>
      <c r="E8" s="9" t="s">
        <v>11</v>
      </c>
    </row>
    <row r="9" spans="1:5" x14ac:dyDescent="0.35">
      <c r="A9" s="12" t="s">
        <v>5</v>
      </c>
      <c r="B9" s="13">
        <v>43.75</v>
      </c>
      <c r="C9" s="7">
        <v>45870</v>
      </c>
      <c r="D9" s="8" t="s">
        <v>2</v>
      </c>
      <c r="E9" s="9" t="s">
        <v>11</v>
      </c>
    </row>
    <row r="10" spans="1:5" x14ac:dyDescent="0.35">
      <c r="A10" s="12" t="s">
        <v>5</v>
      </c>
      <c r="B10" s="13">
        <v>-3.3500000000021828</v>
      </c>
      <c r="C10" s="10">
        <v>46000</v>
      </c>
      <c r="D10" s="8" t="s">
        <v>2</v>
      </c>
      <c r="E10" s="11" t="s">
        <v>10</v>
      </c>
    </row>
    <row r="11" spans="1:5" x14ac:dyDescent="0.35">
      <c r="A11" s="12" t="s">
        <v>7</v>
      </c>
      <c r="B11" s="13">
        <v>14.97</v>
      </c>
      <c r="C11" s="10">
        <v>45716</v>
      </c>
      <c r="D11" s="8" t="s">
        <v>4</v>
      </c>
      <c r="E11" s="9" t="s">
        <v>11</v>
      </c>
    </row>
    <row r="12" spans="1:5" x14ac:dyDescent="0.35">
      <c r="A12" s="12" t="s">
        <v>7</v>
      </c>
      <c r="B12" s="14">
        <v>23.66</v>
      </c>
      <c r="C12" s="7">
        <v>45799</v>
      </c>
      <c r="D12" s="15" t="s">
        <v>4</v>
      </c>
      <c r="E12" s="9" t="s">
        <v>11</v>
      </c>
    </row>
    <row r="13" spans="1:5" x14ac:dyDescent="0.35">
      <c r="A13" s="12" t="s">
        <v>7</v>
      </c>
      <c r="B13" s="14">
        <v>16.8</v>
      </c>
      <c r="C13" s="7">
        <v>45897</v>
      </c>
      <c r="D13" s="15" t="s">
        <v>4</v>
      </c>
      <c r="E13" s="9" t="s">
        <v>11</v>
      </c>
    </row>
    <row r="14" spans="1:5" x14ac:dyDescent="0.35">
      <c r="A14" s="19" t="s">
        <v>6</v>
      </c>
      <c r="B14" s="16">
        <v>120.31</v>
      </c>
      <c r="C14" s="17">
        <v>45384</v>
      </c>
      <c r="D14" s="4" t="s">
        <v>3</v>
      </c>
      <c r="E14" s="9" t="s">
        <v>11</v>
      </c>
    </row>
    <row r="15" spans="1:5" x14ac:dyDescent="0.35">
      <c r="A15" s="12" t="s">
        <v>6</v>
      </c>
      <c r="B15" s="14">
        <v>120.31</v>
      </c>
      <c r="C15" s="7">
        <v>45566</v>
      </c>
      <c r="D15" s="15" t="s">
        <v>3</v>
      </c>
      <c r="E15" s="9" t="s">
        <v>11</v>
      </c>
    </row>
    <row r="16" spans="1:5" x14ac:dyDescent="0.35">
      <c r="A16" s="12" t="s">
        <v>6</v>
      </c>
      <c r="B16" s="14">
        <v>120.31</v>
      </c>
      <c r="C16" s="7">
        <v>45748</v>
      </c>
      <c r="D16" s="15" t="s">
        <v>3</v>
      </c>
      <c r="E16" s="9" t="s">
        <v>11</v>
      </c>
    </row>
    <row r="17" spans="1:5" x14ac:dyDescent="0.35">
      <c r="A17" s="19" t="s">
        <v>6</v>
      </c>
      <c r="B17" s="16">
        <v>120.31</v>
      </c>
      <c r="C17" s="17">
        <v>45931</v>
      </c>
      <c r="D17" s="18" t="s">
        <v>3</v>
      </c>
      <c r="E17" s="20" t="s">
        <v>11</v>
      </c>
    </row>
  </sheetData>
  <conditionalFormatting sqref="D2:D13">
    <cfRule type="containsText" dxfId="21" priority="8" stopIfTrue="1" operator="containsText" text="BTP">
      <formula>NOT(ISERROR(SEARCH("BTP",D2)))</formula>
    </cfRule>
    <cfRule type="expression" dxfId="20" priority="9" stopIfTrue="1">
      <formula>IF(AND(ISNUMBER(SEARCH("H2O", D2)), ISNUMBER(SEARCH("SP", D2))), 1,0)</formula>
    </cfRule>
  </conditionalFormatting>
  <conditionalFormatting sqref="E2:E17">
    <cfRule type="containsText" dxfId="19" priority="3" operator="containsText" text="FEE">
      <formula>NOT(ISERROR(SEARCH("FEE",E2)))</formula>
    </cfRule>
    <cfRule type="containsText" dxfId="18" priority="4" operator="containsText" text="DIIVIDENDI">
      <formula>NOT(ISERROR(SEARCH("DIIVIDENDI",E2)))</formula>
    </cfRule>
    <cfRule type="containsText" dxfId="17" priority="5" operator="containsText" text="CEDOLE">
      <formula>NOT(ISERROR(SEARCH("CEDOLE",E2)))</formula>
    </cfRule>
    <cfRule type="containsText" dxfId="16" priority="6" operator="containsText" text="ACQUISTO">
      <formula>NOT(ISERROR(SEARCH("ACQUISTO",E2)))</formula>
    </cfRule>
    <cfRule type="containsText" dxfId="15" priority="7" operator="containsText" text="VENDITA">
      <formula>NOT(ISERROR(SEARCH("VENDITA",E2)))</formula>
    </cfRule>
  </conditionalFormatting>
  <conditionalFormatting sqref="D14:D17">
    <cfRule type="containsText" dxfId="1" priority="1" stopIfTrue="1" operator="containsText" text="BTP">
      <formula>NOT(ISERROR(SEARCH("BTP",D14)))</formula>
    </cfRule>
    <cfRule type="expression" dxfId="0" priority="2" stopIfTrue="1">
      <formula>IF(AND(ISNUMBER(SEARCH("H2O", D14)), ISNUMBER(SEARCH("SP", D14))), 1,0)</formula>
    </cfRule>
  </conditionalFormatting>
  <dataValidations count="1">
    <dataValidation type="list" allowBlank="1" showInputMessage="1" showErrorMessage="1" sqref="E2:E17" xr:uid="{A1652940-910A-41A3-B33A-F0C0147E166B}">
      <formula1>LabTipoEventi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2026-01-26T11:18:17Z</dcterms:modified>
</cp:coreProperties>
</file>