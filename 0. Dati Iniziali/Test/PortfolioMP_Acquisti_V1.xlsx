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Code\PerixMonitor\0. Dati Iniziali\Test\"/>
    </mc:Choice>
  </mc:AlternateContent>
  <xr:revisionPtr revIDLastSave="0" documentId="13_ncr:1_{0B14740F-11EE-4BA7-9D0E-E730F6576B43}" xr6:coauthVersionLast="47" xr6:coauthVersionMax="47" xr10:uidLastSave="{00000000-0000-0000-0000-000000000000}"/>
  <bookViews>
    <workbookView xWindow="0" yWindow="600" windowWidth="22630" windowHeight="21000" xr2:uid="{461EA0C3-CC98-4DCD-BC5C-C997A99599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1" l="1"/>
  <c r="I2" i="1"/>
  <c r="M1" i="1" l="1"/>
</calcChain>
</file>

<file path=xl/sharedStrings.xml><?xml version="1.0" encoding="utf-8"?>
<sst xmlns="http://schemas.openxmlformats.org/spreadsheetml/2006/main" count="21" uniqueCount="19">
  <si>
    <t>ISIN</t>
  </si>
  <si>
    <t>Quantità</t>
  </si>
  <si>
    <t>Divisa</t>
  </si>
  <si>
    <t>Data (acquisto/vendita)</t>
  </si>
  <si>
    <t>Operazione</t>
  </si>
  <si>
    <t>EUR</t>
  </si>
  <si>
    <t>Prezzo Operazione (EUR)</t>
  </si>
  <si>
    <t>Acquisto</t>
  </si>
  <si>
    <t>FID ASIA AGGR AC EUR</t>
  </si>
  <si>
    <t>FID GLO QLTY USD EUR</t>
  </si>
  <si>
    <t>LU0345361124</t>
  </si>
  <si>
    <t>IE00BYXVGZ48</t>
  </si>
  <si>
    <t>Controvalore (EUR)</t>
  </si>
  <si>
    <t>Fondo Azionario</t>
  </si>
  <si>
    <t>ETF azionario</t>
  </si>
  <si>
    <t>Tipologia</t>
  </si>
  <si>
    <t>Controvalore Totale:</t>
  </si>
  <si>
    <t>Descrizione Asset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</si>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</sst>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#,##0.00\ &quot;€&quot;;[Red]\-#,##0.00\ &quot;€&quot;"/>
    <numFmt numFmtId="164" formatCode="#,##0.00;;\-"/>
  </numFmts>
  <fonts count="5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u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2" fontId="2" fillId="0" borderId="1" xfId="0" applyNumberFormat="1" applyFont="1" applyBorder="1" applyAlignment="1">
      <alignment vertical="center"/>
    </xf>
    <xf numFmtId="4" fontId="0" fillId="0" borderId="1" xfId="0" applyNumberFormat="1" applyBorder="1"/>
    <xf numFmtId="8" fontId="3" fillId="2" borderId="3" xfId="0" applyNumberFormat="1" applyFont="1" applyFill="1" applyBorder="1"/>
    <xf numFmtId="0" fontId="4" fillId="0" borderId="0" xfId="0" applyFont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4" fontId="0" fillId="0" borderId="0" xfId="0" applyNumberFormat="1" applyAlignment="1">
      <alignment horizontal="center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30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 tint="0.79998168889431442"/>
        </patternFill>
      </fill>
    </dxf>
    <dxf>
      <font>
        <b/>
        <i val="0"/>
        <color rgb="FF0070C0"/>
      </font>
      <fill>
        <patternFill>
          <bgColor theme="7" tint="0.79998168889431442"/>
        </patternFill>
      </fill>
    </dxf>
    <dxf>
      <fill>
        <patternFill>
          <bgColor theme="8" tint="0.39994506668294322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EB8953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theme="0"/>
      </font>
      <fill>
        <patternFill>
          <bgColor theme="1" tint="0.499984740745262"/>
        </patternFill>
      </fill>
    </dxf>
    <dxf>
      <font>
        <color auto="1"/>
      </font>
      <fill>
        <patternFill>
          <bgColor theme="3" tint="0.89996032593768116"/>
        </patternFill>
      </fill>
    </dxf>
    <dxf>
      <font>
        <color auto="1"/>
      </font>
      <fill>
        <patternFill>
          <bgColor rgb="FFFFFF00"/>
        </patternFill>
      </fill>
    </dxf>
    <dxf>
      <fill>
        <patternFill patternType="none">
          <fgColor indexed="64"/>
          <bgColor auto="1"/>
        </patternFill>
      </fill>
      <alignment horizontal="left" vertical="center" textRotation="0" wrapText="1" indent="0" justifyLastLine="0" shrinkToFit="0" readingOrder="0"/>
    </dxf>
    <dxf>
      <numFmt numFmtId="4" formatCode="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numFmt numFmtId="164" formatCode="#,##0.00;;\-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color auto="1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color auto="1"/>
      </font>
      <numFmt numFmtId="2" formatCode="0.00"/>
      <fill>
        <patternFill patternType="gray0625">
          <fgColor theme="9" tint="0.79998168889431442"/>
          <bgColor theme="9" tint="0.79998168889431442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4" formatCode="#,##0.00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color auto="1"/>
      </font>
      <numFmt numFmtId="2" formatCode="0.00"/>
      <fill>
        <patternFill patternType="none">
          <fgColor indexed="64"/>
          <bgColor auto="1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left style="thin">
          <color indexed="64"/>
        </left>
        <right style="thin">
          <color indexed="64"/>
        </right>
      </border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4F4BF02-F5A0-427F-92C4-A60283CF04F1}" name="Table1" displayName="Table1" ref="A1:J3" totalsRowShown="0" headerRowDxfId="29" dataDxfId="28" tableBorderDxfId="27">
  <autoFilter ref="A1:J3" xr:uid="{04F4BF02-F5A0-427F-92C4-A60283CF04F1}"/>
  <sortState xmlns:xlrd2="http://schemas.microsoft.com/office/spreadsheetml/2017/richdata2" ref="A2:I3">
    <sortCondition ref="D1:D3"/>
  </sortState>
  <tableColumns count="10">
    <tableColumn id="2" xr3:uid="{C4CDF0AD-2602-44A7-AA26-292542A274A0}" name="ISIN" dataDxfId="26"/>
    <tableColumn id="1" xr3:uid="{B8061C36-8993-4203-ABD6-C7BF7558D40C}" name="Descrizione Asset" dataDxfId="25"/>
    <tableColumn id="3" xr3:uid="{0A18EC50-C250-41F4-83C1-E84B3FDD76A5}" name="Quantità" dataDxfId="24"/>
    <tableColumn id="6" xr3:uid="{1CC3BD49-EF04-4684-84DC-5AB42F08A1CD}" name="Data (acquisto/vendita)" dataDxfId="23"/>
    <tableColumn id="8" xr3:uid="{8C52C664-8EA8-4E89-892F-C9CCC6BB2E54}" name="Prezzo Operazione (EUR)" dataDxfId="22"/>
    <tableColumn id="11" xr3:uid="{8B0704F8-8C2E-42BE-A30C-03EF7C2730A1}" name="Tipologia" dataDxfId="21"/>
    <tableColumn id="7" xr3:uid="{0B72A75D-196B-42C0-9E49-163198DF8CDB}" name="Operazione" dataDxfId="20"/>
    <tableColumn id="4" xr3:uid="{F21CA34D-52E3-4C7A-A959-24C01F694687}" name="Divisa" dataDxfId="19"/>
    <tableColumn id="10" xr3:uid="{7F8241B6-2FCB-4564-8F24-4D4146A82E8B}" name="Controvalore (EUR)" dataDxfId="18">
      <calculatedColumnFormula>+Table1[[#This Row],[Quantità]]*Table1[[#This Row],[Prezzo Operazione (EUR)]]</calculatedColumnFormula>
    </tableColumn>
    <tableColumn id="5" xr3:uid="{4BB24666-6DBD-4CCB-B492-4786A2A04F01}" name="Note" dataDxfId="17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B4B52-5CB9-41B5-89C1-B1D0A0795C06}">
  <sheetPr codeName="Sheet1"/>
  <dimension ref="A1:M3"/>
  <sheetViews>
    <sheetView showGridLines="0" tabSelected="1" zoomScale="85" zoomScaleNormal="85" workbookViewId="0">
      <selection activeCell="B3" sqref="B3"/>
    </sheetView>
  </sheetViews>
  <sheetFormatPr defaultRowHeight="14.5" x14ac:dyDescent="0.35"/>
  <cols>
    <col min="1" max="1" width="15.81640625" customWidth="1"/>
    <col min="2" max="2" width="29.453125" bestFit="1" customWidth="1"/>
    <col min="3" max="3" width="12.6328125" bestFit="1" customWidth="1"/>
    <col min="4" max="4" width="25.7265625" customWidth="1"/>
    <col min="5" max="5" width="23" bestFit="1" customWidth="1"/>
    <col min="6" max="6" width="16.54296875" customWidth="1"/>
    <col min="7" max="7" width="25.90625" bestFit="1" customWidth="1"/>
    <col min="8" max="8" width="10.54296875" bestFit="1" customWidth="1"/>
    <col min="9" max="9" width="21.26953125" bestFit="1" customWidth="1"/>
    <col min="10" max="10" width="28.1796875" customWidth="1"/>
    <col min="12" max="12" width="17.36328125" bestFit="1" customWidth="1"/>
    <col min="13" max="13" width="11.1796875" bestFit="1" customWidth="1"/>
    <col min="14" max="14" width="10.7265625" bestFit="1" customWidth="1"/>
    <col min="16" max="16" width="7.54296875" bestFit="1" customWidth="1"/>
  </cols>
  <sheetData>
    <row r="1" spans="1:13" ht="15" thickBot="1" x14ac:dyDescent="0.4">
      <c r="A1" s="10" t="s">
        <v>0</v>
      </c>
      <c r="B1" s="11" t="s">
        <v>17</v>
      </c>
      <c r="C1" s="10" t="s">
        <v>1</v>
      </c>
      <c r="D1" s="11" t="s">
        <v>3</v>
      </c>
      <c r="E1" s="11" t="s">
        <v>6</v>
      </c>
      <c r="F1" s="11" t="s">
        <v>15</v>
      </c>
      <c r="G1" s="11" t="s">
        <v>4</v>
      </c>
      <c r="H1" s="9" t="s">
        <v>2</v>
      </c>
      <c r="I1" s="9" t="s">
        <v>12</v>
      </c>
      <c r="J1" s="9" t="s">
        <v>18</v>
      </c>
      <c r="L1" s="8" t="s">
        <v>16</v>
      </c>
      <c r="M1" s="7">
        <f>SUM(Table1[Controvalore (EUR)])</f>
        <v>27734.744979999999</v>
      </c>
    </row>
    <row r="2" spans="1:13" x14ac:dyDescent="0.35">
      <c r="A2" s="2" t="s">
        <v>10</v>
      </c>
      <c r="B2" s="2" t="s">
        <v>8</v>
      </c>
      <c r="C2" s="6">
        <v>786.29</v>
      </c>
      <c r="D2" s="4">
        <v>45355</v>
      </c>
      <c r="E2" s="6">
        <v>28.88</v>
      </c>
      <c r="F2" s="5" t="s">
        <v>13</v>
      </c>
      <c r="G2" s="1" t="s">
        <v>7</v>
      </c>
      <c r="H2" s="3" t="s">
        <v>5</v>
      </c>
      <c r="I2" s="12">
        <f>+Table1[[#This Row],[Quantità]]*Table1[[#This Row],[Prezzo Operazione (EUR)]]</f>
        <v>22708.055199999999</v>
      </c>
      <c r="J2" s="13"/>
    </row>
    <row r="3" spans="1:13" x14ac:dyDescent="0.35">
      <c r="A3" s="2" t="s">
        <v>11</v>
      </c>
      <c r="B3" s="2" t="s">
        <v>9</v>
      </c>
      <c r="C3" s="6">
        <v>570</v>
      </c>
      <c r="D3" s="4">
        <v>45702</v>
      </c>
      <c r="E3" s="6">
        <v>8.8187540000000002</v>
      </c>
      <c r="F3" s="5" t="s">
        <v>14</v>
      </c>
      <c r="G3" s="1" t="s">
        <v>7</v>
      </c>
      <c r="H3" s="3" t="s">
        <v>5</v>
      </c>
      <c r="I3" s="12">
        <f>+Table1[[#This Row],[Quantità]]*Table1[[#This Row],[Prezzo Operazione (EUR)]]</f>
        <v>5026.6897799999997</v>
      </c>
      <c r="J3" s="13"/>
    </row>
  </sheetData>
  <conditionalFormatting sqref="B2:B3 F2:H3">
    <cfRule type="containsText" dxfId="16" priority="3" operator="containsText" text="NEW">
      <formula>NOT(ISERROR(SEARCH("NEW",B2)))</formula>
    </cfRule>
    <cfRule type="containsText" dxfId="15" priority="4" operator="containsText" text="Multi-Asset">
      <formula>NOT(ISERROR(SEARCH("Multi-Asset",B2)))</formula>
    </cfRule>
    <cfRule type="containsText" dxfId="14" priority="5" operator="containsText" text="Altro">
      <formula>NOT(ISERROR(SEARCH("Altro",B2)))</formula>
    </cfRule>
    <cfRule type="containsText" dxfId="13" priority="6" operator="containsText" text="Obbligazionario">
      <formula>NOT(ISERROR(SEARCH("Obbligazionario",B2)))</formula>
    </cfRule>
    <cfRule type="containsText" dxfId="12" priority="7" operator="containsText" text="Obblig.">
      <formula>NOT(ISERROR(SEARCH("Obblig.",B2)))</formula>
    </cfRule>
    <cfRule type="containsText" dxfId="11" priority="8" operator="containsText" text="ETF">
      <formula>NOT(ISERROR(SEARCH("ETF",B2)))</formula>
    </cfRule>
    <cfRule type="containsText" dxfId="10" priority="9" operator="containsText" text="Azionario">
      <formula>NOT(ISERROR(SEARCH("Azionario",B2)))</formula>
    </cfRule>
    <cfRule type="containsText" dxfId="9" priority="10" operator="containsText" text="Liquidità">
      <formula>NOT(ISERROR(SEARCH("Liquidità",B2)))</formula>
    </cfRule>
    <cfRule type="containsText" dxfId="8" priority="11" operator="containsText" text="Bilanciato">
      <formula>NOT(ISERROR(SEARCH("Bilanciato",B2)))</formula>
    </cfRule>
    <cfRule type="containsText" dxfId="7" priority="12" operator="containsText" text="Certif">
      <formula>NOT(ISERROR(SEARCH("Certif",B2)))</formula>
    </cfRule>
  </conditionalFormatting>
  <conditionalFormatting sqref="B2:B3 H2:H3">
    <cfRule type="containsText" dxfId="6" priority="34" stopIfTrue="1" operator="containsText" text="BTP">
      <formula>NOT(ISERROR(SEARCH("BTP",B2)))</formula>
    </cfRule>
    <cfRule type="expression" dxfId="5" priority="35" stopIfTrue="1">
      <formula>IF(AND(ISNUMBER(SEARCH("H2O", B2)), ISNUMBER(SEARCH("SP", B2))), 1,0)</formula>
    </cfRule>
  </conditionalFormatting>
  <conditionalFormatting sqref="C2:C3">
    <cfRule type="containsBlanks" dxfId="4" priority="32">
      <formula>LEN(TRIM(C2))=0</formula>
    </cfRule>
  </conditionalFormatting>
  <conditionalFormatting sqref="G2:G3">
    <cfRule type="containsText" dxfId="3" priority="19" operator="containsText" text="Vendita">
      <formula>NOT(ISERROR(SEARCH("Vendita",G2)))</formula>
    </cfRule>
    <cfRule type="containsText" dxfId="2" priority="20" operator="containsText" text="Acquisto">
      <formula>NOT(ISERROR(SEARCH("Acquisto",G2)))</formula>
    </cfRule>
  </conditionalFormatting>
  <conditionalFormatting sqref="H2:H3">
    <cfRule type="notContainsText" dxfId="1" priority="36" stopIfTrue="1" operator="notContains" text="EUR">
      <formula>ISERROR(SEARCH("EUR",H2))</formula>
    </cfRule>
    <cfRule type="containsBlanks" dxfId="0" priority="36">
      <formula>LEN(TRIM(H2))=0</formula>
    </cfRule>
  </conditionalFormatting>
  <dataValidations disablePrompts="1" count="1">
    <dataValidation type="list" allowBlank="1" showInputMessage="1" showErrorMessage="1" sqref="G2:G3" xr:uid="{786B1B08-543B-41BE-8266-499A04655516}">
      <formula1>"Acquisto,Vendita,-"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Periccioli</dc:creator>
  <cp:lastModifiedBy>Mauro Periccioli</cp:lastModifiedBy>
  <dcterms:created xsi:type="dcterms:W3CDTF">2026-01-16T18:50:02Z</dcterms:created>
  <dcterms:modified xsi:type="dcterms:W3CDTF">2026-02-04T21:04:14Z</dcterms:modified>
</cp:coreProperties>
</file>