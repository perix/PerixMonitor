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F5E9DCC8-362A-4494-9BB3-310F96785F50}" xr6:coauthVersionLast="47" xr6:coauthVersionMax="47" xr10:uidLastSave="{00000000-0000-0000-0000-000000000000}"/>
  <bookViews>
    <workbookView xWindow="57480" yWindow="-120" windowWidth="29040" windowHeight="1824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976E9529-6E14-4604-A2B2-A30D35E9BEE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<sst xmlns="http://schemas.openxmlformats.org/spreadsheetml/2006/main" count="60" uniqueCount="53">
  <si>
    <t>Descrizione Titolo</t>
  </si>
  <si>
    <t>ISIN</t>
  </si>
  <si>
    <t>Quantità</t>
  </si>
  <si>
    <t>Divisa</t>
  </si>
  <si>
    <t>Prezzo Carico (EUR)</t>
  </si>
  <si>
    <t>EUR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</si>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</sst>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166" fontId="0" fillId="0" borderId="1" xfId="0" applyNumberFormat="1" applyBorder="1" applyAlignment="1">
      <alignment horizontal="center"/>
    </xf>
    <xf numFmtId="8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23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4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G3" totalsRowShown="0" headerRowDxfId="22" dataDxfId="21" tableBorderDxfId="20">
  <autoFilter ref="A1:G3" xr:uid="{A644CB40-5D0E-4EC7-B73F-375AD248FD75}"/>
  <tableColumns count="7">
    <tableColumn id="1" xr3:uid="{13244BAA-6E4E-45A8-BE73-4D4764516016}" name="Descrizione Titolo" dataDxfId="19" totalsRowDxfId="18"/>
    <tableColumn id="2" xr3:uid="{F51F4DA1-A077-4914-80B4-AD8AFEA9ADAD}" name="ISIN" dataDxfId="17" totalsRowDxfId="16"/>
    <tableColumn id="3" xr3:uid="{C2133E33-0C58-4FAA-8AA3-38DFFFDB3BB4}" name="Quantità" dataDxfId="15" totalsRowDxfId="14"/>
    <tableColumn id="4" xr3:uid="{D1F0CC62-5D59-4DA0-8EAB-4BB138EF8A47}" name="Divisa" dataDxfId="13" totalsRowDxfId="12"/>
    <tableColumn id="5" xr3:uid="{C9B3D54A-E0B9-4828-98B2-9CC4D10E4F29}" name="Prezzo Carico (EUR)" dataDxfId="11" totalsRowDxfId="10"/>
    <tableColumn id="6" xr3:uid="{D840105F-A0FF-48B3-B6D2-7C8E4E15D7F8}" name="Data" dataDxfId="9" totalsRowDxfId="8"/>
    <tableColumn id="9" xr3:uid="{CB075AA3-AE95-48F4-96AF-9F28838DD478}" name="Prezzo Corrente (EUR)" dataDxfId="7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3"/>
  <sheetViews>
    <sheetView showGridLines="0" tabSelected="1" workbookViewId="0">
      <selection activeCell="K5" sqref="K5"/>
    </sheetView>
  </sheetViews>
  <sheetFormatPr defaultRowHeight="14.5" x14ac:dyDescent="0.35"/>
  <cols>
    <col min="1" max="1" width="21.26953125" customWidth="1"/>
    <col min="2" max="2" width="13.453125" customWidth="1"/>
    <col min="3" max="3" width="9.36328125" customWidth="1"/>
    <col min="4" max="4" width="7.36328125" customWidth="1"/>
    <col min="5" max="5" width="18.36328125" customWidth="1"/>
    <col min="6" max="6" width="13.6328125" style="3" customWidth="1"/>
    <col min="7" max="7" width="15.453125" customWidth="1"/>
    <col min="8" max="8" width="3.90625" customWidth="1"/>
    <col min="9" max="9" width="12.6328125" bestFit="1" customWidth="1"/>
    <col min="12" max="12" width="11.453125" customWidth="1"/>
  </cols>
  <sheetData>
    <row r="1" spans="1:12" ht="15" thickBot="1" x14ac:dyDescent="0.4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4" t="s">
        <v>52</v>
      </c>
      <c r="G1" s="24" t="s">
        <v>6</v>
      </c>
      <c r="L1" s="14">
        <f>SUM(L2:L3)</f>
        <v>31754.263300000002</v>
      </c>
    </row>
    <row r="2" spans="1:12" x14ac:dyDescent="0.35">
      <c r="A2" s="15" t="s">
        <v>8</v>
      </c>
      <c r="B2" s="16" t="s">
        <v>7</v>
      </c>
      <c r="C2" s="17">
        <v>786.29</v>
      </c>
      <c r="D2" s="18" t="s">
        <v>5</v>
      </c>
      <c r="E2" s="19">
        <v>31.14</v>
      </c>
      <c r="F2" s="13">
        <v>46053</v>
      </c>
      <c r="G2" s="20">
        <v>33.770000000000003</v>
      </c>
      <c r="L2" s="21">
        <f>+C2*G2</f>
        <v>26553.013300000002</v>
      </c>
    </row>
    <row r="3" spans="1:12" x14ac:dyDescent="0.35">
      <c r="A3" s="15" t="s">
        <v>13</v>
      </c>
      <c r="B3" s="16" t="s">
        <v>35</v>
      </c>
      <c r="C3" s="17">
        <v>570</v>
      </c>
      <c r="D3" s="18" t="s">
        <v>5</v>
      </c>
      <c r="E3" s="19">
        <v>8.8187999999999995</v>
      </c>
      <c r="F3" s="13">
        <v>46053</v>
      </c>
      <c r="G3" s="20">
        <v>9.125</v>
      </c>
      <c r="L3" s="21">
        <f>+C3*G3</f>
        <v>5201.25</v>
      </c>
    </row>
  </sheetData>
  <conditionalFormatting sqref="A2:A3">
    <cfRule type="expression" dxfId="5" priority="93" stopIfTrue="1">
      <formula>IF(AND(ISNUMBER(SEARCH("H2O", A2)), ISNUMBER(SEARCH("SP", A2))), 1,0)</formula>
    </cfRule>
    <cfRule type="containsText" dxfId="4" priority="94" stopIfTrue="1" operator="containsText" text="BTP">
      <formula>NOT(ISERROR(SEARCH("BTP",A2)))</formula>
    </cfRule>
  </conditionalFormatting>
  <conditionalFormatting sqref="D2:D3">
    <cfRule type="notContainsText" dxfId="2" priority="92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30</v>
      </c>
    </row>
    <row r="2" spans="1:3" x14ac:dyDescent="0.35">
      <c r="A2" s="5" t="s">
        <v>9</v>
      </c>
      <c r="B2" s="5" t="s">
        <v>31</v>
      </c>
      <c r="C2" s="9">
        <v>45002</v>
      </c>
    </row>
    <row r="3" spans="1:3" x14ac:dyDescent="0.35">
      <c r="A3" s="1" t="s">
        <v>10</v>
      </c>
      <c r="B3" s="1" t="s">
        <v>32</v>
      </c>
      <c r="C3" s="2">
        <v>45002</v>
      </c>
    </row>
    <row r="4" spans="1:3" x14ac:dyDescent="0.35">
      <c r="A4" s="5" t="s">
        <v>8</v>
      </c>
      <c r="B4" s="5" t="s">
        <v>7</v>
      </c>
      <c r="C4" s="9">
        <v>45355</v>
      </c>
    </row>
    <row r="5" spans="1:3" x14ac:dyDescent="0.35">
      <c r="A5" s="1" t="s">
        <v>11</v>
      </c>
      <c r="B5" s="1" t="s">
        <v>33</v>
      </c>
      <c r="C5" s="2">
        <v>45355</v>
      </c>
    </row>
    <row r="6" spans="1:3" x14ac:dyDescent="0.35">
      <c r="A6" s="5" t="s">
        <v>12</v>
      </c>
      <c r="B6" s="5" t="s">
        <v>34</v>
      </c>
      <c r="C6" s="9">
        <v>45355</v>
      </c>
    </row>
    <row r="7" spans="1:3" x14ac:dyDescent="0.35">
      <c r="A7" s="1" t="s">
        <v>17</v>
      </c>
      <c r="B7" s="1" t="s">
        <v>39</v>
      </c>
      <c r="C7" s="2">
        <v>45355</v>
      </c>
    </row>
    <row r="8" spans="1:3" x14ac:dyDescent="0.35">
      <c r="A8" s="5" t="s">
        <v>18</v>
      </c>
      <c r="B8" s="5" t="s">
        <v>40</v>
      </c>
      <c r="C8" s="9">
        <v>45355</v>
      </c>
    </row>
    <row r="9" spans="1:3" x14ac:dyDescent="0.35">
      <c r="A9" s="1" t="s">
        <v>19</v>
      </c>
      <c r="B9" s="1" t="s">
        <v>41</v>
      </c>
      <c r="C9" s="2">
        <v>45355</v>
      </c>
    </row>
    <row r="10" spans="1:3" x14ac:dyDescent="0.35">
      <c r="A10" s="1" t="s">
        <v>21</v>
      </c>
      <c r="B10" s="1" t="s">
        <v>43</v>
      </c>
      <c r="C10" s="2">
        <v>45355</v>
      </c>
    </row>
    <row r="11" spans="1:3" x14ac:dyDescent="0.35">
      <c r="A11" s="5" t="s">
        <v>22</v>
      </c>
      <c r="B11" s="5" t="s">
        <v>44</v>
      </c>
      <c r="C11" s="9">
        <v>45355</v>
      </c>
    </row>
    <row r="12" spans="1:3" x14ac:dyDescent="0.35">
      <c r="A12" s="1" t="s">
        <v>25</v>
      </c>
      <c r="B12" s="1" t="s">
        <v>47</v>
      </c>
      <c r="C12" s="2">
        <v>45355</v>
      </c>
    </row>
    <row r="13" spans="1:3" x14ac:dyDescent="0.35">
      <c r="A13" s="5" t="s">
        <v>24</v>
      </c>
      <c r="B13" s="5" t="s">
        <v>46</v>
      </c>
      <c r="C13" s="9">
        <v>45701</v>
      </c>
    </row>
    <row r="14" spans="1:3" x14ac:dyDescent="0.35">
      <c r="A14" s="1" t="s">
        <v>13</v>
      </c>
      <c r="B14" s="1" t="s">
        <v>35</v>
      </c>
      <c r="C14" s="2">
        <v>45702</v>
      </c>
    </row>
    <row r="15" spans="1:3" x14ac:dyDescent="0.35">
      <c r="A15" s="1" t="s">
        <v>15</v>
      </c>
      <c r="B15" s="1" t="s">
        <v>37</v>
      </c>
      <c r="C15" s="2">
        <v>45702</v>
      </c>
    </row>
    <row r="16" spans="1:3" x14ac:dyDescent="0.35">
      <c r="A16" s="5" t="s">
        <v>16</v>
      </c>
      <c r="B16" s="5" t="s">
        <v>38</v>
      </c>
      <c r="C16" s="9">
        <v>45702</v>
      </c>
    </row>
    <row r="17" spans="1:3" x14ac:dyDescent="0.35">
      <c r="A17" s="5" t="s">
        <v>14</v>
      </c>
      <c r="B17" s="5" t="s">
        <v>36</v>
      </c>
      <c r="C17" s="9">
        <v>45705</v>
      </c>
    </row>
    <row r="18" spans="1:3" x14ac:dyDescent="0.35">
      <c r="A18" s="1" t="s">
        <v>23</v>
      </c>
      <c r="B18" s="1" t="s">
        <v>45</v>
      </c>
      <c r="C18" s="2">
        <v>45706</v>
      </c>
    </row>
    <row r="19" spans="1:3" x14ac:dyDescent="0.35">
      <c r="A19" s="5" t="s">
        <v>20</v>
      </c>
      <c r="B19" s="5" t="s">
        <v>42</v>
      </c>
      <c r="C19" s="9">
        <v>45806</v>
      </c>
    </row>
    <row r="20" spans="1:3" x14ac:dyDescent="0.35">
      <c r="A20" s="6" t="s">
        <v>26</v>
      </c>
      <c r="B20" s="6" t="s">
        <v>48</v>
      </c>
      <c r="C20" s="10">
        <v>46044</v>
      </c>
    </row>
    <row r="21" spans="1:3" x14ac:dyDescent="0.35">
      <c r="A21" s="7" t="s">
        <v>27</v>
      </c>
      <c r="B21" s="7" t="s">
        <v>49</v>
      </c>
      <c r="C21" s="11">
        <v>46044</v>
      </c>
    </row>
    <row r="22" spans="1:3" x14ac:dyDescent="0.35">
      <c r="A22" s="1" t="s">
        <v>29</v>
      </c>
      <c r="B22" s="1" t="s">
        <v>51</v>
      </c>
      <c r="C22" s="2">
        <v>46044</v>
      </c>
    </row>
    <row r="23" spans="1:3" x14ac:dyDescent="0.35">
      <c r="A23" s="6" t="s">
        <v>28</v>
      </c>
      <c r="B23" s="6" t="s">
        <v>50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2026-02-12T14:09:06Z</dcterms:modified>
</cp:coreProperties>
</file>