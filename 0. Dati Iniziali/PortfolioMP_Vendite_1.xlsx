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02160972-5B5C-4458-8268-3868E0F9A05D}" xr6:coauthVersionLast="47" xr6:coauthVersionMax="47" xr10:uidLastSave="{00000000-0000-0000-0000-000000000000}"/>
  <bookViews>
    <workbookView xWindow="8560" yWindow="4750" windowWidth="28260" windowHeight="1333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<sst xmlns="http://schemas.openxmlformats.org/spreadsheetml/2006/main" count="12" uniqueCount="12">
  <si>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</si>
  <si>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</si>
  <si>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</si>
  <si>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</si>
  <si>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</si>
  <si>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</si>
  <si>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</si>
  <si>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Prezzo Corrente (EUR)</t>
  </si>
  <si>
    <t>Prezzo Operazione (EUR)</t>
  </si>
  <si>
    <t>Vendita</t>
  </si>
  <si>
    <t>MEDIOBANCA AB N</t>
  </si>
  <si>
    <t>IT0005630253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</si>
</sst>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;;\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2" fontId="0" fillId="0" borderId="5" xfId="0" applyNumberFormat="1" applyBorder="1"/>
    <xf numFmtId="0" fontId="0" fillId="0" borderId="5" xfId="0" applyBorder="1" applyAlignment="1">
      <alignment horizontal="center"/>
    </xf>
    <xf numFmtId="8" fontId="0" fillId="0" borderId="5" xfId="0" applyNumberFormat="1" applyBorder="1"/>
    <xf numFmtId="0" fontId="0" fillId="0" borderId="5" xfId="0" applyBorder="1"/>
    <xf numFmtId="16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18"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numFmt numFmtId="12" formatCode="#,##0.00\ &quot;€&quot;;[Red]\-#,##0.00\ &quot;€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€&quot;;[Red]\-#,##0.00\ &quot;€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;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I2" totalsRowShown="0" headerRowDxfId="17" dataDxfId="16" tableBorderDxfId="15">
  <sortState xmlns:xlrd2="http://schemas.microsoft.com/office/spreadsheetml/2017/richdata2" ref="A2:I2">
    <sortCondition ref="F1:F2"/>
  </sortState>
  <tableColumns count="9">
    <tableColumn id="1" xr3:uid="{B8061C36-8993-4203-ABD6-C7BF7558D40C}" name="Descrizione Titolo" dataDxfId="14"/>
    <tableColumn id="2" xr3:uid="{C4CDF0AD-2602-44A7-AA26-292542A274A0}" name="ISIN" dataDxfId="13"/>
    <tableColumn id="3" xr3:uid="{0A18EC50-C250-41F4-83C1-E84B3FDD76A5}" name="Quantità" dataDxfId="12"/>
    <tableColumn id="4" xr3:uid="{F21CA34D-52E3-4C7A-A959-24C01F694687}" name="Divisa" dataDxfId="11"/>
    <tableColumn id="5" xr3:uid="{5C9AD5B2-888B-43C8-AC2C-1789ADAB0AD8}" name="Prezzo Carico (EUR)" dataDxfId="10"/>
    <tableColumn id="6" xr3:uid="{1CC3BD49-EF04-4684-84DC-5AB42F08A1CD}" name="Data (acquisto/vendita)" dataDxfId="9"/>
    <tableColumn id="7" xr3:uid="{0B72A75D-196B-42C0-9E49-163198DF8CDB}" name="Operazione" dataDxfId="8"/>
    <tableColumn id="8" xr3:uid="{8C52C664-8EA8-4E89-892F-C9CCC6BB2E54}" name="Prezzo Operazione (EUR)" dataDxfId="7"/>
    <tableColumn id="9" xr3:uid="{20AB3F10-3CEF-4BB7-ACA8-F58F613D5EBF}" name="Prezzo Corrente (EUR)" dataDxfId="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7"/>
  <sheetViews>
    <sheetView showGridLines="0" tabSelected="1" workbookViewId="0">
      <selection activeCell="A2" sqref="A2"/>
    </sheetView>
  </sheetViews>
  <sheetFormatPr defaultRowHeight="14.5" x14ac:dyDescent="0.35"/>
  <cols>
    <col min="1" max="1" width="29.453125" bestFit="1" customWidth="1"/>
    <col min="2" max="2" width="19.453125" customWidth="1"/>
    <col min="3" max="3" width="13" customWidth="1"/>
    <col min="4" max="4" width="17.6328125" customWidth="1"/>
    <col min="5" max="5" width="19.08984375" customWidth="1"/>
    <col min="6" max="6" width="22.6328125" customWidth="1"/>
    <col min="7" max="7" width="16.54296875" customWidth="1"/>
    <col min="8" max="8" width="23.08984375" customWidth="1"/>
    <col min="9" max="9" width="21.90625" customWidth="1"/>
    <col min="15" max="15" width="13.08984375" bestFit="1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8</v>
      </c>
      <c r="I1" s="5" t="s">
        <v>7</v>
      </c>
    </row>
    <row r="2" spans="1:9" x14ac:dyDescent="0.35">
      <c r="A2" s="9" t="s">
        <v>10</v>
      </c>
      <c r="B2" s="9" t="s">
        <v>11</v>
      </c>
      <c r="C2" s="6">
        <v>3198</v>
      </c>
      <c r="D2" s="10"/>
      <c r="E2" s="6"/>
      <c r="F2" s="11">
        <v>46038</v>
      </c>
      <c r="G2" s="7" t="s">
        <v>9</v>
      </c>
      <c r="H2" s="8">
        <f>16162.69/Table1[[#This Row],[Quantità]]</f>
        <v>5.0539993746091305</v>
      </c>
      <c r="I2" s="8"/>
    </row>
    <row r="7" spans="1:9" x14ac:dyDescent="0.35">
      <c r="H7" s="12"/>
    </row>
  </sheetData>
  <conditionalFormatting sqref="A2">
    <cfRule type="containsText" dxfId="5" priority="1" stopIfTrue="1" operator="containsText" text="BTP">
      <formula>NOT(ISERROR(SEARCH("BTP",A2)))</formula>
    </cfRule>
    <cfRule type="expression" dxfId="4" priority="2" stopIfTrue="1">
      <formula>IF(AND(ISNUMBER(SEARCH("H2O", A2)), ISNUMBER(SEARCH("SP", A2))), 1,0)</formula>
    </cfRule>
    <cfRule type="containsText" dxfId="3" priority="18" stopIfTrue="1" operator="containsText" text="BTP">
      <formula>NOT(ISERROR(SEARCH("BTP",A2)))</formula>
    </cfRule>
    <cfRule type="expression" dxfId="2" priority="19" stopIfTrue="1">
      <formula>IF(AND(ISNUMBER(SEARCH("H2O", A2)), ISNUMBER(SEARCH("SP", A2))), 1,0)</formula>
    </cfRule>
  </conditionalFormatting>
  <conditionalFormatting sqref="G2">
    <cfRule type="containsText" dxfId="1" priority="3" operator="containsText" text="Vendita">
      <formula>NOT(ISERROR(SEARCH("Vendita",G2)))</formula>
    </cfRule>
    <cfRule type="containsText" dxfId="0" priority="4" operator="containsText" text="Acquisto">
      <formula>NOT(ISERROR(SEARCH("Acquisto",G2)))</formula>
    </cfRule>
  </conditionalFormatting>
  <dataValidations count="1">
    <dataValidation type="list" allowBlank="1" showInputMessage="1" showErrorMessage="1" sqref="G2" xr:uid="{786B1B08-543B-41BE-8266-499A04655516}">
      <formula1>"Acquisto,Vendita,-"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2026-01-31T18:08:47Z</dcterms:modified>
</cp:coreProperties>
</file>