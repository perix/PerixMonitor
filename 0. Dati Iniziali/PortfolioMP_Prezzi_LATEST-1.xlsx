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77388A10-BE85-4AE3-8B62-95F9D193B31E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<sst xmlns="http://schemas.openxmlformats.org/spreadsheetml/2006/main" count="111" uniqueCount="57">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</sst>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0" borderId="3" xfId="0" applyBorder="1"/>
    <xf numFmtId="0" fontId="1" fillId="3" borderId="4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5" fillId="0" borderId="0" xfId="0" applyFont="1"/>
    <xf numFmtId="8" fontId="4" fillId="6" borderId="7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0" borderId="8" xfId="0" applyFont="1" applyBorder="1"/>
    <xf numFmtId="0" fontId="4" fillId="0" borderId="9" xfId="0" applyFont="1" applyBorder="1"/>
    <xf numFmtId="4" fontId="4" fillId="0" borderId="8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 vertical="center"/>
    </xf>
    <xf numFmtId="166" fontId="4" fillId="0" borderId="8" xfId="0" applyNumberFormat="1" applyFont="1" applyBorder="1"/>
    <xf numFmtId="167" fontId="0" fillId="0" borderId="1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27"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7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€&quot;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6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I19" totalsRowShown="0" headerRowDxfId="26" dataDxfId="25" tableBorderDxfId="24">
  <autoFilter ref="A1:I19" xr:uid="{A644CB40-5D0E-4EC7-B73F-375AD248FD75}"/>
  <tableColumns count="9">
    <tableColumn id="1" xr3:uid="{13244BAA-6E4E-45A8-BE73-4D4764516016}" name="Descrizione Titolo" dataDxfId="23" totalsRowDxfId="22"/>
    <tableColumn id="2" xr3:uid="{F51F4DA1-A077-4914-80B4-AD8AFEA9ADAD}" name="ISIN" dataDxfId="21" totalsRowDxfId="20"/>
    <tableColumn id="3" xr3:uid="{C2133E33-0C58-4FAA-8AA3-38DFFFDB3BB4}" name="Quantità" dataDxfId="19" totalsRowDxfId="18"/>
    <tableColumn id="4" xr3:uid="{D1F0CC62-5D59-4DA0-8EAB-4BB138EF8A47}" name="Divisa" dataDxfId="17" totalsRowDxfId="16"/>
    <tableColumn id="5" xr3:uid="{C9B3D54A-E0B9-4828-98B2-9CC4D10E4F29}" name="Prezzo Carico (EUR)" dataDxfId="15" totalsRowDxfId="14"/>
    <tableColumn id="6" xr3:uid="{D840105F-A0FF-48B3-B6D2-7C8E4E15D7F8}" name="Data (acquisto/vendita)" dataDxfId="0" totalsRowDxfId="13"/>
    <tableColumn id="7" xr3:uid="{55060C3D-5427-4473-A5E5-D5782153505A}" name="Operazione" dataDxfId="12" totalsRowDxfId="11"/>
    <tableColumn id="8" xr3:uid="{8247D659-8814-4F8E-BCA4-CB69E15D5754}" name="Prezzo Operazione (EUR)" dataDxfId="10" totalsRowDxfId="9"/>
    <tableColumn id="9" xr3:uid="{CB075AA3-AE95-48F4-96AF-9F28838DD478}" name="Prezzo Corrente (EUR)" dataDxfId="8" totalsRow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M20"/>
  <sheetViews>
    <sheetView showGridLines="0" tabSelected="1" workbookViewId="0">
      <pane ySplit="1" topLeftCell="A2" activePane="bottomLeft" state="frozenSplit"/>
      <selection pane="bottomLeft" activeCell="F2" sqref="F2:F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6" bestFit="1" customWidth="1"/>
    <col min="7" max="7" width="16.54296875" customWidth="1"/>
    <col min="8" max="8" width="22.26953125" customWidth="1"/>
    <col min="9" max="9" width="21.90625" customWidth="1"/>
    <col min="11" max="11" width="12.6328125" bestFit="1" customWidth="1"/>
    <col min="13" max="13" width="17.90625" bestFit="1" customWidth="1"/>
    <col min="14" max="14" width="19.1796875" customWidth="1"/>
  </cols>
  <sheetData>
    <row r="1" spans="1:13" ht="15" thickBot="1" x14ac:dyDescent="0.4">
      <c r="A1" s="1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17" t="s">
        <v>8</v>
      </c>
      <c r="K1" s="22">
        <f>SUM(K2:K19)</f>
        <v>486324.08348221995</v>
      </c>
      <c r="L1" s="21" t="s">
        <v>55</v>
      </c>
    </row>
    <row r="2" spans="1:13" x14ac:dyDescent="0.35">
      <c r="A2" s="23" t="s">
        <v>27</v>
      </c>
      <c r="B2" s="24" t="s">
        <v>49</v>
      </c>
      <c r="C2" s="25">
        <v>99.85</v>
      </c>
      <c r="D2" s="26" t="s">
        <v>7</v>
      </c>
      <c r="E2" s="27">
        <v>100</v>
      </c>
      <c r="F2" s="19">
        <v>46053</v>
      </c>
      <c r="G2" s="18"/>
      <c r="H2" s="20"/>
      <c r="I2" s="33">
        <v>100.33</v>
      </c>
      <c r="K2" s="35">
        <f>+C2*I2</f>
        <v>10017.950499999999</v>
      </c>
    </row>
    <row r="3" spans="1:13" x14ac:dyDescent="0.35">
      <c r="A3" s="23" t="s">
        <v>29</v>
      </c>
      <c r="B3" s="24" t="s">
        <v>51</v>
      </c>
      <c r="C3" s="25">
        <v>155</v>
      </c>
      <c r="D3" s="26" t="s">
        <v>7</v>
      </c>
      <c r="E3" s="27">
        <v>94.621300000000005</v>
      </c>
      <c r="F3" s="19">
        <v>46053</v>
      </c>
      <c r="G3" s="18"/>
      <c r="H3" s="20"/>
      <c r="I3" s="33">
        <v>95.4</v>
      </c>
      <c r="K3" s="35">
        <f t="shared" ref="K3:K19" si="0">+C3*I3</f>
        <v>14787</v>
      </c>
    </row>
    <row r="4" spans="1:13" x14ac:dyDescent="0.35">
      <c r="A4" s="23" t="s">
        <v>13</v>
      </c>
      <c r="B4" s="24" t="s">
        <v>35</v>
      </c>
      <c r="C4" s="25">
        <v>250</v>
      </c>
      <c r="D4" s="26" t="s">
        <v>7</v>
      </c>
      <c r="E4" s="27">
        <v>90.380700000000004</v>
      </c>
      <c r="F4" s="19">
        <v>46053</v>
      </c>
      <c r="G4" s="18"/>
      <c r="H4" s="20"/>
      <c r="I4" s="33">
        <v>98.92</v>
      </c>
      <c r="K4" s="35">
        <f t="shared" si="0"/>
        <v>24730</v>
      </c>
    </row>
    <row r="5" spans="1:13" x14ac:dyDescent="0.35">
      <c r="A5" s="23" t="s">
        <v>11</v>
      </c>
      <c r="B5" s="24" t="s">
        <v>10</v>
      </c>
      <c r="C5" s="25">
        <v>786.29</v>
      </c>
      <c r="D5" s="26" t="s">
        <v>7</v>
      </c>
      <c r="E5" s="27">
        <v>31.14</v>
      </c>
      <c r="F5" s="19">
        <v>46053</v>
      </c>
      <c r="G5" s="18"/>
      <c r="H5" s="20"/>
      <c r="I5" s="33">
        <v>33.770000000000003</v>
      </c>
      <c r="K5" s="35">
        <f t="shared" si="0"/>
        <v>26553.013300000002</v>
      </c>
      <c r="M5" s="35"/>
    </row>
    <row r="6" spans="1:13" x14ac:dyDescent="0.35">
      <c r="A6" s="23" t="s">
        <v>16</v>
      </c>
      <c r="B6" s="24" t="s">
        <v>38</v>
      </c>
      <c r="C6" s="25">
        <v>570</v>
      </c>
      <c r="D6" s="26" t="s">
        <v>7</v>
      </c>
      <c r="E6" s="27">
        <v>8.8187999999999995</v>
      </c>
      <c r="F6" s="19">
        <v>46053</v>
      </c>
      <c r="G6" s="18"/>
      <c r="H6" s="20"/>
      <c r="I6" s="33">
        <v>9.125</v>
      </c>
      <c r="K6" s="35">
        <f t="shared" si="0"/>
        <v>5201.25</v>
      </c>
      <c r="M6" s="35"/>
    </row>
    <row r="7" spans="1:13" x14ac:dyDescent="0.35">
      <c r="A7" s="23" t="s">
        <v>30</v>
      </c>
      <c r="B7" s="24" t="s">
        <v>52</v>
      </c>
      <c r="C7" s="25">
        <v>237</v>
      </c>
      <c r="D7" s="26" t="s">
        <v>7</v>
      </c>
      <c r="E7" s="27">
        <v>42.381100000000004</v>
      </c>
      <c r="F7" s="19">
        <v>46053</v>
      </c>
      <c r="G7" s="18"/>
      <c r="H7" s="20"/>
      <c r="I7" s="33">
        <v>38.380000000000003</v>
      </c>
      <c r="K7" s="35">
        <f t="shared" si="0"/>
        <v>9096.0600000000013</v>
      </c>
      <c r="M7" s="35"/>
    </row>
    <row r="8" spans="1:13" x14ac:dyDescent="0.35">
      <c r="A8" s="23" t="s">
        <v>14</v>
      </c>
      <c r="B8" s="24" t="s">
        <v>36</v>
      </c>
      <c r="C8" s="25">
        <v>808.88599999999997</v>
      </c>
      <c r="D8" s="26" t="s">
        <v>7</v>
      </c>
      <c r="E8" s="27">
        <v>79.260800000000003</v>
      </c>
      <c r="F8" s="19">
        <v>46053</v>
      </c>
      <c r="G8" s="18"/>
      <c r="H8" s="20"/>
      <c r="I8" s="33">
        <v>153.56</v>
      </c>
      <c r="K8" s="35">
        <f t="shared" si="0"/>
        <v>124212.53416</v>
      </c>
    </row>
    <row r="9" spans="1:13" x14ac:dyDescent="0.35">
      <c r="A9" s="23" t="s">
        <v>15</v>
      </c>
      <c r="B9" s="24" t="s">
        <v>37</v>
      </c>
      <c r="C9" s="25">
        <v>255.42699999999999</v>
      </c>
      <c r="D9" s="26" t="s">
        <v>7</v>
      </c>
      <c r="E9" s="27">
        <v>188.8296</v>
      </c>
      <c r="F9" s="19">
        <v>46053</v>
      </c>
      <c r="G9" s="18"/>
      <c r="H9" s="20"/>
      <c r="I9" s="33">
        <v>387.35</v>
      </c>
      <c r="K9" s="35">
        <f t="shared" si="0"/>
        <v>98939.648450000008</v>
      </c>
      <c r="M9" s="35"/>
    </row>
    <row r="10" spans="1:13" x14ac:dyDescent="0.35">
      <c r="A10" s="23" t="s">
        <v>17</v>
      </c>
      <c r="B10" s="24" t="s">
        <v>39</v>
      </c>
      <c r="C10" s="25">
        <v>47</v>
      </c>
      <c r="D10" s="26" t="s">
        <v>7</v>
      </c>
      <c r="E10" s="27">
        <v>108.09699999999999</v>
      </c>
      <c r="F10" s="19">
        <v>46053</v>
      </c>
      <c r="G10" s="18"/>
      <c r="H10" s="20"/>
      <c r="I10" s="33">
        <v>112.51</v>
      </c>
      <c r="K10" s="35">
        <f t="shared" si="0"/>
        <v>5287.97</v>
      </c>
    </row>
    <row r="11" spans="1:13" x14ac:dyDescent="0.35">
      <c r="A11" s="23" t="s">
        <v>18</v>
      </c>
      <c r="B11" s="24" t="s">
        <v>40</v>
      </c>
      <c r="C11" s="25">
        <v>945.54899999999998</v>
      </c>
      <c r="D11" s="26" t="s">
        <v>7</v>
      </c>
      <c r="E11" s="27">
        <v>16.910799999999998</v>
      </c>
      <c r="F11" s="19">
        <v>46053</v>
      </c>
      <c r="G11" s="18"/>
      <c r="H11" s="20"/>
      <c r="I11" s="33">
        <v>21.368099999999998</v>
      </c>
      <c r="K11" s="35">
        <f t="shared" si="0"/>
        <v>20204.585586899997</v>
      </c>
    </row>
    <row r="12" spans="1:13" x14ac:dyDescent="0.35">
      <c r="A12" s="23" t="s">
        <v>20</v>
      </c>
      <c r="B12" s="24" t="s">
        <v>42</v>
      </c>
      <c r="C12" s="25">
        <v>104.37</v>
      </c>
      <c r="D12" s="26" t="s">
        <v>56</v>
      </c>
      <c r="E12" s="27">
        <v>183.25</v>
      </c>
      <c r="F12" s="19">
        <v>46053</v>
      </c>
      <c r="G12" s="18"/>
      <c r="H12" s="20"/>
      <c r="I12" s="33">
        <v>179.13438399999998</v>
      </c>
      <c r="K12" s="35">
        <f t="shared" si="0"/>
        <v>18696.255658079997</v>
      </c>
    </row>
    <row r="13" spans="1:13" x14ac:dyDescent="0.35">
      <c r="A13" s="23" t="s">
        <v>21</v>
      </c>
      <c r="B13" s="24" t="s">
        <v>43</v>
      </c>
      <c r="C13" s="25">
        <v>207.953</v>
      </c>
      <c r="D13" s="26" t="s">
        <v>56</v>
      </c>
      <c r="E13" s="27">
        <v>86.142099999999999</v>
      </c>
      <c r="F13" s="19">
        <v>46053</v>
      </c>
      <c r="G13" s="18"/>
      <c r="H13" s="20"/>
      <c r="I13" s="33">
        <v>135.32948000000002</v>
      </c>
      <c r="K13" s="35">
        <f t="shared" si="0"/>
        <v>28142.171354440005</v>
      </c>
    </row>
    <row r="14" spans="1:13" x14ac:dyDescent="0.35">
      <c r="A14" s="23" t="s">
        <v>22</v>
      </c>
      <c r="B14" s="24" t="s">
        <v>44</v>
      </c>
      <c r="C14" s="25">
        <v>448.18400000000003</v>
      </c>
      <c r="D14" s="26" t="s">
        <v>7</v>
      </c>
      <c r="E14" s="27">
        <v>24.51</v>
      </c>
      <c r="F14" s="19">
        <v>46053</v>
      </c>
      <c r="G14" s="18"/>
      <c r="H14" s="20"/>
      <c r="I14" s="33">
        <v>35.470399999999998</v>
      </c>
      <c r="K14" s="35">
        <f t="shared" si="0"/>
        <v>15897.265753600001</v>
      </c>
    </row>
    <row r="15" spans="1:13" x14ac:dyDescent="0.35">
      <c r="A15" s="23" t="s">
        <v>23</v>
      </c>
      <c r="B15" s="24" t="s">
        <v>45</v>
      </c>
      <c r="C15" s="25">
        <v>117.944</v>
      </c>
      <c r="D15" s="26" t="s">
        <v>7</v>
      </c>
      <c r="E15" s="27">
        <v>188.49709999999999</v>
      </c>
      <c r="F15" s="19">
        <v>46053</v>
      </c>
      <c r="G15" s="18"/>
      <c r="H15" s="20"/>
      <c r="I15" s="33">
        <v>210.97380000000001</v>
      </c>
      <c r="K15" s="35">
        <f t="shared" si="0"/>
        <v>24883.093867200001</v>
      </c>
    </row>
    <row r="16" spans="1:13" x14ac:dyDescent="0.35">
      <c r="A16" s="23" t="s">
        <v>25</v>
      </c>
      <c r="B16" s="24" t="s">
        <v>47</v>
      </c>
      <c r="C16" s="25">
        <v>586.02</v>
      </c>
      <c r="D16" s="26" t="s">
        <v>7</v>
      </c>
      <c r="E16" s="27">
        <v>17.7333</v>
      </c>
      <c r="F16" s="19">
        <v>46053</v>
      </c>
      <c r="G16" s="18"/>
      <c r="H16" s="20"/>
      <c r="I16" s="33">
        <v>27.0626</v>
      </c>
      <c r="K16" s="35">
        <f t="shared" si="0"/>
        <v>15859.224851999999</v>
      </c>
    </row>
    <row r="17" spans="1:11" x14ac:dyDescent="0.35">
      <c r="A17" s="23" t="s">
        <v>31</v>
      </c>
      <c r="B17" s="24" t="s">
        <v>53</v>
      </c>
      <c r="C17" s="25">
        <v>15</v>
      </c>
      <c r="D17" s="26" t="s">
        <v>7</v>
      </c>
      <c r="E17" s="27">
        <v>1009.4647</v>
      </c>
      <c r="F17" s="19">
        <v>46053</v>
      </c>
      <c r="G17" s="18"/>
      <c r="H17" s="20"/>
      <c r="I17" s="33">
        <v>1005</v>
      </c>
      <c r="K17" s="35">
        <f t="shared" si="0"/>
        <v>15075</v>
      </c>
    </row>
    <row r="18" spans="1:11" x14ac:dyDescent="0.35">
      <c r="A18" s="23" t="s">
        <v>32</v>
      </c>
      <c r="B18" s="24" t="s">
        <v>54</v>
      </c>
      <c r="C18" s="25">
        <v>205</v>
      </c>
      <c r="D18" s="26" t="s">
        <v>7</v>
      </c>
      <c r="E18" s="27">
        <v>97.022000000000006</v>
      </c>
      <c r="F18" s="19">
        <v>46053</v>
      </c>
      <c r="G18" s="18"/>
      <c r="H18" s="20"/>
      <c r="I18" s="33">
        <v>99</v>
      </c>
      <c r="K18" s="35">
        <f t="shared" si="0"/>
        <v>20295</v>
      </c>
    </row>
    <row r="19" spans="1:11" ht="15" thickBot="1" x14ac:dyDescent="0.4">
      <c r="A19" s="28" t="s">
        <v>26</v>
      </c>
      <c r="B19" s="29" t="s">
        <v>48</v>
      </c>
      <c r="C19" s="30">
        <v>86</v>
      </c>
      <c r="D19" s="31" t="s">
        <v>7</v>
      </c>
      <c r="E19" s="32">
        <v>93.194999999999993</v>
      </c>
      <c r="F19" s="19">
        <v>46053</v>
      </c>
      <c r="G19" s="18"/>
      <c r="H19" s="20"/>
      <c r="I19" s="34">
        <v>98.21</v>
      </c>
      <c r="K19" s="35">
        <f t="shared" si="0"/>
        <v>8446.06</v>
      </c>
    </row>
    <row r="20" spans="1:11" ht="15" thickTop="1" x14ac:dyDescent="0.35"/>
  </sheetData>
  <conditionalFormatting sqref="A2:A19">
    <cfRule type="expression" dxfId="6" priority="3" stopIfTrue="1">
      <formula>IF(AND(ISNUMBER(SEARCH("H2O", A2)), ISNUMBER(SEARCH("SP", A2))), 1,0)</formula>
    </cfRule>
    <cfRule type="containsText" dxfId="5" priority="4" stopIfTrue="1" operator="containsText" text="BTP">
      <formula>NOT(ISERROR(SEARCH("BTP",A2)))</formula>
    </cfRule>
  </conditionalFormatting>
  <conditionalFormatting sqref="D2:D19">
    <cfRule type="notContainsText" dxfId="3" priority="2" operator="notContains" text="EUR">
      <formula>ISERROR(SEARCH("EUR",D2))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7" t="s">
        <v>0</v>
      </c>
      <c r="B1" s="15" t="s">
        <v>1</v>
      </c>
      <c r="C1" s="11" t="s">
        <v>33</v>
      </c>
    </row>
    <row r="2" spans="1:3" x14ac:dyDescent="0.35">
      <c r="A2" s="8" t="s">
        <v>12</v>
      </c>
      <c r="B2" s="8" t="s">
        <v>34</v>
      </c>
      <c r="C2" s="12">
        <v>45002</v>
      </c>
    </row>
    <row r="3" spans="1:3" x14ac:dyDescent="0.35">
      <c r="A3" s="4" t="s">
        <v>13</v>
      </c>
      <c r="B3" s="4" t="s">
        <v>35</v>
      </c>
      <c r="C3" s="5">
        <v>45002</v>
      </c>
    </row>
    <row r="4" spans="1:3" x14ac:dyDescent="0.35">
      <c r="A4" s="8" t="s">
        <v>11</v>
      </c>
      <c r="B4" s="8" t="s">
        <v>10</v>
      </c>
      <c r="C4" s="12">
        <v>45355</v>
      </c>
    </row>
    <row r="5" spans="1:3" x14ac:dyDescent="0.35">
      <c r="A5" s="4" t="s">
        <v>14</v>
      </c>
      <c r="B5" s="4" t="s">
        <v>36</v>
      </c>
      <c r="C5" s="5">
        <v>45355</v>
      </c>
    </row>
    <row r="6" spans="1:3" x14ac:dyDescent="0.35">
      <c r="A6" s="8" t="s">
        <v>15</v>
      </c>
      <c r="B6" s="8" t="s">
        <v>37</v>
      </c>
      <c r="C6" s="12">
        <v>45355</v>
      </c>
    </row>
    <row r="7" spans="1:3" x14ac:dyDescent="0.35">
      <c r="A7" s="4" t="s">
        <v>20</v>
      </c>
      <c r="B7" s="4" t="s">
        <v>42</v>
      </c>
      <c r="C7" s="5">
        <v>45355</v>
      </c>
    </row>
    <row r="8" spans="1:3" x14ac:dyDescent="0.35">
      <c r="A8" s="8" t="s">
        <v>21</v>
      </c>
      <c r="B8" s="8" t="s">
        <v>43</v>
      </c>
      <c r="C8" s="12">
        <v>45355</v>
      </c>
    </row>
    <row r="9" spans="1:3" x14ac:dyDescent="0.35">
      <c r="A9" s="4" t="s">
        <v>22</v>
      </c>
      <c r="B9" s="4" t="s">
        <v>44</v>
      </c>
      <c r="C9" s="5">
        <v>45355</v>
      </c>
    </row>
    <row r="10" spans="1:3" x14ac:dyDescent="0.35">
      <c r="A10" s="4" t="s">
        <v>24</v>
      </c>
      <c r="B10" s="4" t="s">
        <v>46</v>
      </c>
      <c r="C10" s="5">
        <v>45355</v>
      </c>
    </row>
    <row r="11" spans="1:3" x14ac:dyDescent="0.35">
      <c r="A11" s="8" t="s">
        <v>25</v>
      </c>
      <c r="B11" s="8" t="s">
        <v>47</v>
      </c>
      <c r="C11" s="12">
        <v>45355</v>
      </c>
    </row>
    <row r="12" spans="1:3" x14ac:dyDescent="0.35">
      <c r="A12" s="4" t="s">
        <v>28</v>
      </c>
      <c r="B12" s="4" t="s">
        <v>50</v>
      </c>
      <c r="C12" s="5">
        <v>45355</v>
      </c>
    </row>
    <row r="13" spans="1:3" x14ac:dyDescent="0.35">
      <c r="A13" s="8" t="s">
        <v>27</v>
      </c>
      <c r="B13" s="8" t="s">
        <v>49</v>
      </c>
      <c r="C13" s="12">
        <v>45701</v>
      </c>
    </row>
    <row r="14" spans="1:3" x14ac:dyDescent="0.35">
      <c r="A14" s="4" t="s">
        <v>16</v>
      </c>
      <c r="B14" s="4" t="s">
        <v>38</v>
      </c>
      <c r="C14" s="5">
        <v>45702</v>
      </c>
    </row>
    <row r="15" spans="1:3" x14ac:dyDescent="0.35">
      <c r="A15" s="4" t="s">
        <v>18</v>
      </c>
      <c r="B15" s="4" t="s">
        <v>40</v>
      </c>
      <c r="C15" s="5">
        <v>45702</v>
      </c>
    </row>
    <row r="16" spans="1:3" x14ac:dyDescent="0.35">
      <c r="A16" s="8" t="s">
        <v>19</v>
      </c>
      <c r="B16" s="8" t="s">
        <v>41</v>
      </c>
      <c r="C16" s="12">
        <v>45702</v>
      </c>
    </row>
    <row r="17" spans="1:3" x14ac:dyDescent="0.35">
      <c r="A17" s="8" t="s">
        <v>17</v>
      </c>
      <c r="B17" s="8" t="s">
        <v>39</v>
      </c>
      <c r="C17" s="12">
        <v>45705</v>
      </c>
    </row>
    <row r="18" spans="1:3" x14ac:dyDescent="0.35">
      <c r="A18" s="4" t="s">
        <v>26</v>
      </c>
      <c r="B18" s="4" t="s">
        <v>48</v>
      </c>
      <c r="C18" s="5">
        <v>45706</v>
      </c>
    </row>
    <row r="19" spans="1:3" x14ac:dyDescent="0.35">
      <c r="A19" s="8" t="s">
        <v>23</v>
      </c>
      <c r="B19" s="8" t="s">
        <v>45</v>
      </c>
      <c r="C19" s="12">
        <v>45806</v>
      </c>
    </row>
    <row r="20" spans="1:3" x14ac:dyDescent="0.35">
      <c r="A20" s="9" t="s">
        <v>29</v>
      </c>
      <c r="B20" s="9" t="s">
        <v>51</v>
      </c>
      <c r="C20" s="13">
        <v>46044</v>
      </c>
    </row>
    <row r="21" spans="1:3" x14ac:dyDescent="0.35">
      <c r="A21" s="10" t="s">
        <v>30</v>
      </c>
      <c r="B21" s="10" t="s">
        <v>52</v>
      </c>
      <c r="C21" s="14">
        <v>46044</v>
      </c>
    </row>
    <row r="22" spans="1:3" x14ac:dyDescent="0.35">
      <c r="A22" s="4" t="s">
        <v>32</v>
      </c>
      <c r="B22" s="4" t="s">
        <v>54</v>
      </c>
      <c r="C22" s="5">
        <v>46044</v>
      </c>
    </row>
    <row r="23" spans="1:3" x14ac:dyDescent="0.35">
      <c r="A23" s="9" t="s">
        <v>31</v>
      </c>
      <c r="B23" s="9" t="s">
        <v>53</v>
      </c>
      <c r="C23" s="13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2" priority="1" stopIfTrue="1" operator="containsText" text="BTP">
      <formula>NOT(ISERROR(SEARCH("BTP",A2)))</formula>
    </cfRule>
    <cfRule type="expression" dxfId="1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2026-02-02T16:55:49Z</dcterms:modified>
</cp:coreProperties>
</file>