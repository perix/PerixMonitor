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240D591B-D3D1-420F-9AAD-B8F2A9D1AC95}" xr6:coauthVersionLast="47" xr6:coauthVersionMax="47" xr10:uidLastSave="{00000000-0000-0000-0000-000000000000}"/>
  <bookViews>
    <workbookView xWindow="57480" yWindow="-120" windowWidth="29040" windowHeight="18240" xr2:uid="{461EA0C3-CC98-4DCD-BC5C-C997A9959903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" i="1" l="1"/>
  <c r="F75" i="1" s="1"/>
  <c r="F76" i="1" s="1"/>
  <c r="F77" i="1" s="1"/>
  <c r="F79" i="1" s="1"/>
  <c r="F80" i="1" s="1"/>
  <c r="F81" i="1" s="1"/>
  <c r="F82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7" i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<sst xmlns="http://schemas.openxmlformats.org/spreadsheetml/2006/main" count="252" uniqueCount="18">
  <si>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</si>
  <si>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</si>
  <si>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</si>
  <si>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</si>
  <si>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</si>
  <si>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</si>
  <si>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</si>
  <si>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EUR</t>
  </si>
  <si>
    <t>Prezzo Corrente (EUR)</t>
  </si>
  <si>
    <t>Prezzo Operazione (EUR)</t>
  </si>
  <si>
    <t>LU0345361124</t>
  </si>
  <si>
    <t>FID ASIA AGGR AC EUR</t>
  </si>
  <si>
    <t>H2O MULTIBONDS R EUR</t>
  </si>
  <si>
    <t>MEDIOBANCA AB N</t>
  </si>
  <si>
    <t>GLB X SILV USD-A EUR</t>
  </si>
  <si>
    <t>FR0013393329</t>
  </si>
  <si>
    <t>IT0005630253</t>
  </si>
  <si>
    <t>IE000UL6CLP7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</si>
</sst>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/>
    <xf numFmtId="2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/>
    <xf numFmtId="0" fontId="0" fillId="3" borderId="0" xfId="0" applyFill="1"/>
    <xf numFmtId="0" fontId="1" fillId="2" borderId="3" xfId="0" applyFont="1" applyFill="1" applyBorder="1" applyAlignment="1">
      <alignment horizontal="center"/>
    </xf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8" fontId="0" fillId="3" borderId="5" xfId="0" applyNumberFormat="1" applyFill="1" applyBorder="1"/>
    <xf numFmtId="8" fontId="0" fillId="0" borderId="5" xfId="0" applyNumberFormat="1" applyBorder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7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164" fontId="0" fillId="0" borderId="7" xfId="0" applyNumberFormat="1" applyBorder="1"/>
    <xf numFmtId="8" fontId="0" fillId="0" borderId="8" xfId="0" applyNumberFormat="1" applyBorder="1"/>
    <xf numFmtId="0" fontId="0" fillId="3" borderId="6" xfId="0" applyFill="1" applyBorder="1"/>
    <xf numFmtId="0" fontId="0" fillId="3" borderId="7" xfId="0" applyFill="1" applyBorder="1"/>
    <xf numFmtId="2" fontId="0" fillId="3" borderId="7" xfId="0" applyNumberFormat="1" applyFill="1" applyBorder="1"/>
    <xf numFmtId="0" fontId="0" fillId="3" borderId="7" xfId="0" applyFill="1" applyBorder="1" applyAlignment="1">
      <alignment horizontal="center"/>
    </xf>
    <xf numFmtId="164" fontId="0" fillId="3" borderId="7" xfId="0" applyNumberFormat="1" applyFill="1" applyBorder="1"/>
    <xf numFmtId="8" fontId="0" fillId="3" borderId="8" xfId="0" applyNumberFormat="1" applyFill="1" applyBorder="1"/>
    <xf numFmtId="14" fontId="0" fillId="3" borderId="7" xfId="0" applyNumberFormat="1" applyFill="1" applyBorder="1" applyAlignment="1">
      <alignment horizontal="center"/>
    </xf>
  </cellXfs>
  <cellStyles count="1">
    <cellStyle name="Normal" xfId="0" builtinId="0"/>
  </cellStyles>
  <dxfs count="24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numFmt numFmtId="12" formatCode="#,##0.00\ &quot;€&quot;;[Red]\-#,##0.00\ &quot;€&quot;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2" formatCode="#,##0.00\ &quot;€&quot;;[Red]\-#,##0.00\ &quot;€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4CB40-5D0E-4EC7-B73F-375AD248FD75}" name="Table1" displayName="Table1" ref="A1:I82" totalsRowShown="0" headerRowDxfId="23" tableBorderDxfId="22">
  <autoFilter ref="A1:I82" xr:uid="{A644CB40-5D0E-4EC7-B73F-375AD248FD75}">
    <filterColumn colId="0">
      <filters>
        <filter val="H2O MULTIBONDS R EUR"/>
      </filters>
    </filterColumn>
  </autoFilter>
  <tableColumns count="9">
    <tableColumn id="1" xr3:uid="{13244BAA-6E4E-45A8-BE73-4D4764516016}" name="Descrizione Titolo" dataDxfId="21" totalsRowDxfId="20"/>
    <tableColumn id="2" xr3:uid="{F51F4DA1-A077-4914-80B4-AD8AFEA9ADAD}" name="ISIN" dataDxfId="19" totalsRowDxfId="18"/>
    <tableColumn id="3" xr3:uid="{C2133E33-0C58-4FAA-8AA3-38DFFFDB3BB4}" name="Quantità" dataDxfId="17" totalsRowDxfId="16"/>
    <tableColumn id="4" xr3:uid="{D1F0CC62-5D59-4DA0-8EAB-4BB138EF8A47}" name="Divisa" dataDxfId="15" totalsRowDxfId="14"/>
    <tableColumn id="5" xr3:uid="{C9B3D54A-E0B9-4828-98B2-9CC4D10E4F29}" name="Prezzo Carico (EUR)" dataDxfId="13" totalsRowDxfId="12"/>
    <tableColumn id="6" xr3:uid="{D840105F-A0FF-48B3-B6D2-7C8E4E15D7F8}" name="Data (acquisto/vendita)" dataDxfId="11" totalsRowDxfId="10"/>
    <tableColumn id="7" xr3:uid="{55060C3D-5427-4473-A5E5-D5782153505A}" name="Operazione" dataDxfId="9" totalsRowDxfId="8"/>
    <tableColumn id="8" xr3:uid="{8247D659-8814-4F8E-BCA4-CB69E15D5754}" name="Prezzo Operazione (EUR)" dataDxfId="7" totalsRowDxfId="6"/>
    <tableColumn id="9" xr3:uid="{CB075AA3-AE95-48F4-96AF-9F28838DD478}" name="Prezzo Corrente (EUR)" dataDxfId="5" totalsRow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I82"/>
  <sheetViews>
    <sheetView showGridLines="0" tabSelected="1" zoomScaleNormal="100" workbookViewId="0">
      <pane ySplit="1" topLeftCell="A26" activePane="bottomLeft" state="frozenSplit"/>
      <selection pane="bottomLeft" sqref="A1:I49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9" bestFit="1" customWidth="1"/>
    <col min="7" max="7" width="16.54296875" customWidth="1"/>
    <col min="8" max="8" width="22.26953125" customWidth="1"/>
    <col min="9" max="9" width="21.90625" customWidth="1"/>
  </cols>
  <sheetData>
    <row r="1" spans="1:9" x14ac:dyDescent="0.35">
      <c r="A1" s="1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9</v>
      </c>
      <c r="I1" s="19" t="s">
        <v>8</v>
      </c>
    </row>
    <row r="2" spans="1:9" s="15" customFormat="1" hidden="1" x14ac:dyDescent="0.35">
      <c r="A2" s="17" t="s">
        <v>11</v>
      </c>
      <c r="B2" s="10" t="s">
        <v>10</v>
      </c>
      <c r="C2" s="11"/>
      <c r="D2" s="12" t="s">
        <v>7</v>
      </c>
      <c r="E2" s="11"/>
      <c r="F2" s="13">
        <v>46052</v>
      </c>
      <c r="G2" s="12"/>
      <c r="H2" s="14"/>
      <c r="I2" s="20">
        <v>33.770000000000003</v>
      </c>
    </row>
    <row r="3" spans="1:9" hidden="1" x14ac:dyDescent="0.35">
      <c r="A3" s="18" t="s">
        <v>11</v>
      </c>
      <c r="B3" s="4" t="s">
        <v>10</v>
      </c>
      <c r="C3" s="7"/>
      <c r="D3" s="5" t="s">
        <v>7</v>
      </c>
      <c r="E3" s="7"/>
      <c r="F3" s="8">
        <f t="shared" ref="F3:F24" si="0">EOMONTH(F2,-1)</f>
        <v>46022</v>
      </c>
      <c r="G3" s="4"/>
      <c r="H3" s="4"/>
      <c r="I3" s="21">
        <v>32.229999999999997</v>
      </c>
    </row>
    <row r="4" spans="1:9" hidden="1" x14ac:dyDescent="0.35">
      <c r="A4" s="18" t="s">
        <v>11</v>
      </c>
      <c r="B4" s="4" t="s">
        <v>10</v>
      </c>
      <c r="C4" s="7"/>
      <c r="D4" s="5" t="s">
        <v>7</v>
      </c>
      <c r="E4" s="7"/>
      <c r="F4" s="8">
        <f t="shared" si="0"/>
        <v>45991</v>
      </c>
      <c r="G4" s="5"/>
      <c r="H4" s="6"/>
      <c r="I4" s="21">
        <v>33.11</v>
      </c>
    </row>
    <row r="5" spans="1:9" hidden="1" x14ac:dyDescent="0.35">
      <c r="A5" s="18" t="s">
        <v>11</v>
      </c>
      <c r="B5" s="4" t="s">
        <v>10</v>
      </c>
      <c r="C5" s="7"/>
      <c r="D5" s="5" t="s">
        <v>7</v>
      </c>
      <c r="E5" s="7"/>
      <c r="F5" s="8">
        <f t="shared" si="0"/>
        <v>45961</v>
      </c>
      <c r="G5" s="5"/>
      <c r="H5" s="6"/>
      <c r="I5" s="21">
        <v>33.44</v>
      </c>
    </row>
    <row r="6" spans="1:9" hidden="1" x14ac:dyDescent="0.35">
      <c r="A6" s="18" t="s">
        <v>11</v>
      </c>
      <c r="B6" s="4" t="s">
        <v>10</v>
      </c>
      <c r="C6" s="7"/>
      <c r="D6" s="5" t="s">
        <v>7</v>
      </c>
      <c r="E6" s="7"/>
      <c r="F6" s="8">
        <f t="shared" si="0"/>
        <v>45930</v>
      </c>
      <c r="G6" s="5"/>
      <c r="H6" s="6"/>
      <c r="I6" s="21">
        <v>33.630000000000003</v>
      </c>
    </row>
    <row r="7" spans="1:9" hidden="1" x14ac:dyDescent="0.35">
      <c r="A7" s="18" t="s">
        <v>11</v>
      </c>
      <c r="B7" s="4" t="s">
        <v>10</v>
      </c>
      <c r="C7" s="7"/>
      <c r="D7" s="5" t="s">
        <v>7</v>
      </c>
      <c r="E7" s="7"/>
      <c r="F7" s="8">
        <f t="shared" si="0"/>
        <v>45900</v>
      </c>
      <c r="G7" s="5"/>
      <c r="H7" s="6"/>
      <c r="I7" s="21">
        <v>32.18</v>
      </c>
    </row>
    <row r="8" spans="1:9" hidden="1" x14ac:dyDescent="0.35">
      <c r="A8" s="18" t="s">
        <v>11</v>
      </c>
      <c r="B8" s="4" t="s">
        <v>10</v>
      </c>
      <c r="C8" s="7"/>
      <c r="D8" s="5" t="s">
        <v>7</v>
      </c>
      <c r="E8" s="7"/>
      <c r="F8" s="8">
        <f t="shared" si="0"/>
        <v>45869</v>
      </c>
      <c r="G8" s="5"/>
      <c r="H8" s="6"/>
      <c r="I8" s="21">
        <v>31.68</v>
      </c>
    </row>
    <row r="9" spans="1:9" hidden="1" x14ac:dyDescent="0.35">
      <c r="A9" s="18" t="s">
        <v>11</v>
      </c>
      <c r="B9" s="4" t="s">
        <v>10</v>
      </c>
      <c r="C9" s="7"/>
      <c r="D9" s="5" t="s">
        <v>7</v>
      </c>
      <c r="E9" s="7"/>
      <c r="F9" s="8">
        <f t="shared" si="0"/>
        <v>45838</v>
      </c>
      <c r="G9" s="5"/>
      <c r="H9" s="6"/>
      <c r="I9" s="21">
        <v>29.99</v>
      </c>
    </row>
    <row r="10" spans="1:9" hidden="1" x14ac:dyDescent="0.35">
      <c r="A10" s="18" t="s">
        <v>11</v>
      </c>
      <c r="B10" s="4" t="s">
        <v>10</v>
      </c>
      <c r="C10" s="7"/>
      <c r="D10" s="5" t="s">
        <v>7</v>
      </c>
      <c r="E10" s="7"/>
      <c r="F10" s="8">
        <f t="shared" si="0"/>
        <v>45808</v>
      </c>
      <c r="G10" s="5"/>
      <c r="H10" s="6"/>
      <c r="I10" s="21">
        <v>30.01</v>
      </c>
    </row>
    <row r="11" spans="1:9" hidden="1" x14ac:dyDescent="0.35">
      <c r="A11" s="18" t="s">
        <v>11</v>
      </c>
      <c r="B11" s="4" t="s">
        <v>10</v>
      </c>
      <c r="C11" s="7"/>
      <c r="D11" s="5" t="s">
        <v>7</v>
      </c>
      <c r="E11" s="7"/>
      <c r="F11" s="8">
        <f t="shared" si="0"/>
        <v>45777</v>
      </c>
      <c r="G11" s="5"/>
      <c r="H11" s="6"/>
      <c r="I11" s="21">
        <v>28.53</v>
      </c>
    </row>
    <row r="12" spans="1:9" hidden="1" x14ac:dyDescent="0.35">
      <c r="A12" s="18" t="s">
        <v>11</v>
      </c>
      <c r="B12" s="4" t="s">
        <v>10</v>
      </c>
      <c r="C12" s="7"/>
      <c r="D12" s="5" t="s">
        <v>7</v>
      </c>
      <c r="E12" s="7"/>
      <c r="F12" s="8">
        <f t="shared" si="0"/>
        <v>45747</v>
      </c>
      <c r="G12" s="5"/>
      <c r="H12" s="6"/>
      <c r="I12" s="21">
        <v>29.71</v>
      </c>
    </row>
    <row r="13" spans="1:9" hidden="1" x14ac:dyDescent="0.35">
      <c r="A13" s="18" t="s">
        <v>11</v>
      </c>
      <c r="B13" s="4" t="s">
        <v>10</v>
      </c>
      <c r="C13" s="7"/>
      <c r="D13" s="5" t="s">
        <v>7</v>
      </c>
      <c r="E13" s="7"/>
      <c r="F13" s="8">
        <f t="shared" si="0"/>
        <v>45716</v>
      </c>
      <c r="G13" s="5"/>
      <c r="H13" s="6"/>
      <c r="I13" s="21">
        <v>31.45</v>
      </c>
    </row>
    <row r="14" spans="1:9" hidden="1" x14ac:dyDescent="0.35">
      <c r="A14" s="18" t="s">
        <v>11</v>
      </c>
      <c r="B14" s="4" t="s">
        <v>10</v>
      </c>
      <c r="C14" s="7"/>
      <c r="D14" s="5" t="s">
        <v>7</v>
      </c>
      <c r="E14" s="7"/>
      <c r="F14" s="8">
        <f t="shared" si="0"/>
        <v>45688</v>
      </c>
      <c r="G14" s="5"/>
      <c r="H14" s="6"/>
      <c r="I14" s="21">
        <v>31.74</v>
      </c>
    </row>
    <row r="15" spans="1:9" hidden="1" x14ac:dyDescent="0.35">
      <c r="A15" s="18" t="s">
        <v>11</v>
      </c>
      <c r="B15" s="4" t="s">
        <v>10</v>
      </c>
      <c r="C15" s="7"/>
      <c r="D15" s="5" t="s">
        <v>7</v>
      </c>
      <c r="E15" s="7"/>
      <c r="F15" s="8">
        <f t="shared" si="0"/>
        <v>45657</v>
      </c>
      <c r="G15" s="5"/>
      <c r="H15" s="6"/>
      <c r="I15" s="21">
        <v>31.04</v>
      </c>
    </row>
    <row r="16" spans="1:9" hidden="1" x14ac:dyDescent="0.35">
      <c r="A16" s="18" t="s">
        <v>11</v>
      </c>
      <c r="B16" s="4" t="s">
        <v>10</v>
      </c>
      <c r="C16" s="7"/>
      <c r="D16" s="5" t="s">
        <v>7</v>
      </c>
      <c r="E16" s="7"/>
      <c r="F16" s="8">
        <f t="shared" si="0"/>
        <v>45626</v>
      </c>
      <c r="G16" s="5"/>
      <c r="H16" s="6"/>
      <c r="I16" s="21">
        <v>32.200000000000003</v>
      </c>
    </row>
    <row r="17" spans="1:9" hidden="1" x14ac:dyDescent="0.35">
      <c r="A17" s="18" t="s">
        <v>11</v>
      </c>
      <c r="B17" s="4" t="s">
        <v>10</v>
      </c>
      <c r="C17" s="7"/>
      <c r="D17" s="5" t="s">
        <v>7</v>
      </c>
      <c r="E17" s="7"/>
      <c r="F17" s="8">
        <f t="shared" si="0"/>
        <v>45596</v>
      </c>
      <c r="G17" s="5"/>
      <c r="H17" s="6"/>
      <c r="I17" s="21">
        <v>30.82</v>
      </c>
    </row>
    <row r="18" spans="1:9" hidden="1" x14ac:dyDescent="0.35">
      <c r="A18" s="18" t="s">
        <v>11</v>
      </c>
      <c r="B18" s="4" t="s">
        <v>10</v>
      </c>
      <c r="C18" s="7"/>
      <c r="D18" s="5" t="s">
        <v>7</v>
      </c>
      <c r="E18" s="7"/>
      <c r="F18" s="8">
        <f t="shared" si="0"/>
        <v>45565</v>
      </c>
      <c r="G18" s="5"/>
      <c r="H18" s="6"/>
      <c r="I18" s="21">
        <v>31.61</v>
      </c>
    </row>
    <row r="19" spans="1:9" hidden="1" x14ac:dyDescent="0.35">
      <c r="A19" s="18" t="s">
        <v>11</v>
      </c>
      <c r="B19" s="4" t="s">
        <v>10</v>
      </c>
      <c r="C19" s="7"/>
      <c r="D19" s="5" t="s">
        <v>7</v>
      </c>
      <c r="E19" s="7"/>
      <c r="F19" s="8">
        <f t="shared" si="0"/>
        <v>45535</v>
      </c>
      <c r="G19" s="5"/>
      <c r="H19" s="6"/>
      <c r="I19" s="21">
        <v>29.24</v>
      </c>
    </row>
    <row r="20" spans="1:9" hidden="1" x14ac:dyDescent="0.35">
      <c r="A20" s="18" t="s">
        <v>11</v>
      </c>
      <c r="B20" s="4" t="s">
        <v>10</v>
      </c>
      <c r="C20" s="7"/>
      <c r="D20" s="5" t="s">
        <v>7</v>
      </c>
      <c r="E20" s="7"/>
      <c r="F20" s="8">
        <f t="shared" si="0"/>
        <v>45504</v>
      </c>
      <c r="G20" s="5"/>
      <c r="H20" s="6"/>
      <c r="I20" s="21">
        <v>29.69</v>
      </c>
    </row>
    <row r="21" spans="1:9" hidden="1" x14ac:dyDescent="0.35">
      <c r="A21" s="18" t="s">
        <v>11</v>
      </c>
      <c r="B21" s="4" t="s">
        <v>10</v>
      </c>
      <c r="C21" s="7"/>
      <c r="D21" s="5" t="s">
        <v>7</v>
      </c>
      <c r="E21" s="7"/>
      <c r="F21" s="8">
        <f t="shared" si="0"/>
        <v>45473</v>
      </c>
      <c r="G21" s="5"/>
      <c r="H21" s="6"/>
      <c r="I21" s="21">
        <v>29.31</v>
      </c>
    </row>
    <row r="22" spans="1:9" hidden="1" x14ac:dyDescent="0.35">
      <c r="A22" s="18" t="s">
        <v>11</v>
      </c>
      <c r="B22" s="4" t="s">
        <v>10</v>
      </c>
      <c r="C22" s="7"/>
      <c r="D22" s="5" t="s">
        <v>7</v>
      </c>
      <c r="E22" s="7"/>
      <c r="F22" s="8">
        <f t="shared" si="0"/>
        <v>45443</v>
      </c>
      <c r="G22" s="5"/>
      <c r="H22" s="6"/>
      <c r="I22" s="21">
        <v>28.84</v>
      </c>
    </row>
    <row r="23" spans="1:9" hidden="1" x14ac:dyDescent="0.35">
      <c r="A23" s="18" t="s">
        <v>11</v>
      </c>
      <c r="B23" s="4" t="s">
        <v>10</v>
      </c>
      <c r="C23" s="7"/>
      <c r="D23" s="5" t="s">
        <v>7</v>
      </c>
      <c r="E23" s="7"/>
      <c r="F23" s="8">
        <f t="shared" si="0"/>
        <v>45412</v>
      </c>
      <c r="G23" s="5"/>
      <c r="H23" s="6"/>
      <c r="I23" s="21">
        <v>29.79</v>
      </c>
    </row>
    <row r="24" spans="1:9" hidden="1" x14ac:dyDescent="0.35">
      <c r="A24" s="18" t="s">
        <v>11</v>
      </c>
      <c r="B24" s="4" t="s">
        <v>10</v>
      </c>
      <c r="C24" s="7"/>
      <c r="D24" s="5" t="s">
        <v>7</v>
      </c>
      <c r="E24" s="7"/>
      <c r="F24" s="8">
        <f t="shared" si="0"/>
        <v>45382</v>
      </c>
      <c r="G24" s="5"/>
      <c r="H24" s="6"/>
      <c r="I24" s="21">
        <v>30.01</v>
      </c>
    </row>
    <row r="25" spans="1:9" hidden="1" x14ac:dyDescent="0.35">
      <c r="A25" s="18" t="s">
        <v>11</v>
      </c>
      <c r="B25" s="4" t="s">
        <v>10</v>
      </c>
      <c r="C25" s="7"/>
      <c r="D25" s="5" t="s">
        <v>7</v>
      </c>
      <c r="E25" s="7"/>
      <c r="F25" s="8">
        <v>45350</v>
      </c>
      <c r="G25" s="5"/>
      <c r="H25" s="6"/>
      <c r="I25" s="21">
        <v>28.58</v>
      </c>
    </row>
    <row r="26" spans="1:9" s="15" customFormat="1" x14ac:dyDescent="0.35">
      <c r="A26" s="17" t="s">
        <v>12</v>
      </c>
      <c r="B26" s="10" t="s">
        <v>15</v>
      </c>
      <c r="C26" s="11"/>
      <c r="D26" s="12" t="s">
        <v>7</v>
      </c>
      <c r="E26" s="11"/>
      <c r="F26" s="13">
        <v>46052</v>
      </c>
      <c r="G26" s="12"/>
      <c r="H26" s="14"/>
      <c r="I26" s="20">
        <v>153.19999999999999</v>
      </c>
    </row>
    <row r="27" spans="1:9" x14ac:dyDescent="0.35">
      <c r="A27" s="18" t="s">
        <v>12</v>
      </c>
      <c r="B27" s="4" t="s">
        <v>15</v>
      </c>
      <c r="C27" s="7"/>
      <c r="D27" s="5" t="s">
        <v>7</v>
      </c>
      <c r="E27" s="7"/>
      <c r="F27" s="8">
        <f>EOMONTH(F26,-1)</f>
        <v>46022</v>
      </c>
      <c r="G27" s="5"/>
      <c r="H27" s="6"/>
      <c r="I27" s="21">
        <v>144.94</v>
      </c>
    </row>
    <row r="28" spans="1:9" x14ac:dyDescent="0.35">
      <c r="A28" s="18" t="s">
        <v>12</v>
      </c>
      <c r="B28" s="4" t="s">
        <v>15</v>
      </c>
      <c r="C28" s="7"/>
      <c r="D28" s="5" t="s">
        <v>7</v>
      </c>
      <c r="E28" s="7"/>
      <c r="F28" s="8">
        <f t="shared" ref="F28:F48" si="1">EOMONTH(F27,-1)</f>
        <v>45991</v>
      </c>
      <c r="G28" s="5"/>
      <c r="H28" s="6"/>
      <c r="I28" s="21">
        <v>145.26</v>
      </c>
    </row>
    <row r="29" spans="1:9" x14ac:dyDescent="0.35">
      <c r="A29" s="18" t="s">
        <v>12</v>
      </c>
      <c r="B29" s="4" t="s">
        <v>15</v>
      </c>
      <c r="C29" s="7"/>
      <c r="D29" s="5" t="s">
        <v>7</v>
      </c>
      <c r="E29" s="7"/>
      <c r="F29" s="8">
        <f t="shared" si="1"/>
        <v>45961</v>
      </c>
      <c r="G29" s="5"/>
      <c r="H29" s="6"/>
      <c r="I29" s="21">
        <v>143.96</v>
      </c>
    </row>
    <row r="30" spans="1:9" x14ac:dyDescent="0.35">
      <c r="A30" s="18" t="s">
        <v>12</v>
      </c>
      <c r="B30" s="4" t="s">
        <v>15</v>
      </c>
      <c r="C30" s="7"/>
      <c r="D30" s="5" t="s">
        <v>7</v>
      </c>
      <c r="E30" s="7"/>
      <c r="F30" s="8">
        <f t="shared" si="1"/>
        <v>45930</v>
      </c>
      <c r="G30" s="5"/>
      <c r="H30" s="6"/>
      <c r="I30" s="21">
        <v>143.59</v>
      </c>
    </row>
    <row r="31" spans="1:9" x14ac:dyDescent="0.35">
      <c r="A31" s="18" t="s">
        <v>12</v>
      </c>
      <c r="B31" s="4" t="s">
        <v>15</v>
      </c>
      <c r="C31" s="7"/>
      <c r="D31" s="5" t="s">
        <v>7</v>
      </c>
      <c r="E31" s="7"/>
      <c r="F31" s="8">
        <f t="shared" si="1"/>
        <v>45900</v>
      </c>
      <c r="G31" s="5"/>
      <c r="H31" s="6"/>
      <c r="I31" s="21">
        <v>140.28</v>
      </c>
    </row>
    <row r="32" spans="1:9" x14ac:dyDescent="0.35">
      <c r="A32" s="18" t="s">
        <v>12</v>
      </c>
      <c r="B32" s="4" t="s">
        <v>15</v>
      </c>
      <c r="C32" s="7"/>
      <c r="D32" s="5" t="s">
        <v>7</v>
      </c>
      <c r="E32" s="7"/>
      <c r="F32" s="8">
        <f t="shared" si="1"/>
        <v>45869</v>
      </c>
      <c r="G32" s="5"/>
      <c r="H32" s="6"/>
      <c r="I32" s="21">
        <v>132.69</v>
      </c>
    </row>
    <row r="33" spans="1:9" x14ac:dyDescent="0.35">
      <c r="A33" s="18" t="s">
        <v>12</v>
      </c>
      <c r="B33" s="4" t="s">
        <v>15</v>
      </c>
      <c r="C33" s="7"/>
      <c r="D33" s="5" t="s">
        <v>7</v>
      </c>
      <c r="E33" s="7"/>
      <c r="F33" s="8">
        <f t="shared" si="1"/>
        <v>45838</v>
      </c>
      <c r="G33" s="5"/>
      <c r="H33" s="6"/>
      <c r="I33" s="21">
        <v>136.09</v>
      </c>
    </row>
    <row r="34" spans="1:9" x14ac:dyDescent="0.35">
      <c r="A34" s="18" t="s">
        <v>12</v>
      </c>
      <c r="B34" s="4" t="s">
        <v>15</v>
      </c>
      <c r="C34" s="7"/>
      <c r="D34" s="5" t="s">
        <v>7</v>
      </c>
      <c r="E34" s="7"/>
      <c r="F34" s="8">
        <f t="shared" si="1"/>
        <v>45808</v>
      </c>
      <c r="G34" s="5"/>
      <c r="H34" s="6"/>
      <c r="I34" s="21">
        <v>135.1</v>
      </c>
    </row>
    <row r="35" spans="1:9" x14ac:dyDescent="0.35">
      <c r="A35" s="18" t="s">
        <v>12</v>
      </c>
      <c r="B35" s="4" t="s">
        <v>15</v>
      </c>
      <c r="C35" s="7"/>
      <c r="D35" s="5" t="s">
        <v>7</v>
      </c>
      <c r="E35" s="7"/>
      <c r="F35" s="8">
        <f t="shared" si="1"/>
        <v>45777</v>
      </c>
      <c r="G35" s="5"/>
      <c r="H35" s="6"/>
      <c r="I35" s="21">
        <v>132.08000000000001</v>
      </c>
    </row>
    <row r="36" spans="1:9" x14ac:dyDescent="0.35">
      <c r="A36" s="18" t="s">
        <v>12</v>
      </c>
      <c r="B36" s="4" t="s">
        <v>15</v>
      </c>
      <c r="C36" s="7"/>
      <c r="D36" s="5" t="s">
        <v>7</v>
      </c>
      <c r="E36" s="7"/>
      <c r="F36" s="8">
        <f t="shared" si="1"/>
        <v>45747</v>
      </c>
      <c r="G36" s="5"/>
      <c r="H36" s="6"/>
      <c r="I36" s="21">
        <v>130.6</v>
      </c>
    </row>
    <row r="37" spans="1:9" x14ac:dyDescent="0.35">
      <c r="A37" s="18" t="s">
        <v>12</v>
      </c>
      <c r="B37" s="4" t="s">
        <v>15</v>
      </c>
      <c r="C37" s="7"/>
      <c r="D37" s="5" t="s">
        <v>7</v>
      </c>
      <c r="E37" s="7"/>
      <c r="F37" s="8">
        <f t="shared" si="1"/>
        <v>45716</v>
      </c>
      <c r="G37" s="5"/>
      <c r="H37" s="6"/>
      <c r="I37" s="21">
        <v>130.75</v>
      </c>
    </row>
    <row r="38" spans="1:9" x14ac:dyDescent="0.35">
      <c r="A38" s="18" t="s">
        <v>12</v>
      </c>
      <c r="B38" s="4" t="s">
        <v>15</v>
      </c>
      <c r="C38" s="7"/>
      <c r="D38" s="5" t="s">
        <v>7</v>
      </c>
      <c r="E38" s="7"/>
      <c r="F38" s="8">
        <f t="shared" si="1"/>
        <v>45688</v>
      </c>
      <c r="G38" s="5"/>
      <c r="H38" s="6"/>
      <c r="I38" s="21">
        <v>124.47</v>
      </c>
    </row>
    <row r="39" spans="1:9" x14ac:dyDescent="0.35">
      <c r="A39" s="18" t="s">
        <v>12</v>
      </c>
      <c r="B39" s="4" t="s">
        <v>15</v>
      </c>
      <c r="C39" s="7"/>
      <c r="D39" s="5" t="s">
        <v>7</v>
      </c>
      <c r="E39" s="7"/>
      <c r="F39" s="8">
        <f t="shared" si="1"/>
        <v>45657</v>
      </c>
      <c r="G39" s="5"/>
      <c r="H39" s="6"/>
      <c r="I39" s="21">
        <v>113.98</v>
      </c>
    </row>
    <row r="40" spans="1:9" x14ac:dyDescent="0.35">
      <c r="A40" s="18" t="s">
        <v>12</v>
      </c>
      <c r="B40" s="4" t="s">
        <v>15</v>
      </c>
      <c r="C40" s="7"/>
      <c r="D40" s="5" t="s">
        <v>7</v>
      </c>
      <c r="E40" s="7"/>
      <c r="F40" s="8">
        <f t="shared" si="1"/>
        <v>45626</v>
      </c>
      <c r="G40" s="5"/>
      <c r="H40" s="6"/>
      <c r="I40" s="21">
        <v>117.37</v>
      </c>
    </row>
    <row r="41" spans="1:9" x14ac:dyDescent="0.35">
      <c r="A41" s="18" t="s">
        <v>12</v>
      </c>
      <c r="B41" s="4" t="s">
        <v>15</v>
      </c>
      <c r="C41" s="7"/>
      <c r="D41" s="5" t="s">
        <v>7</v>
      </c>
      <c r="E41" s="7"/>
      <c r="F41" s="8">
        <f t="shared" si="1"/>
        <v>45596</v>
      </c>
      <c r="G41" s="5"/>
      <c r="H41" s="6"/>
      <c r="I41" s="21">
        <v>115.04</v>
      </c>
    </row>
    <row r="42" spans="1:9" x14ac:dyDescent="0.35">
      <c r="A42" s="18" t="s">
        <v>12</v>
      </c>
      <c r="B42" s="4" t="s">
        <v>15</v>
      </c>
      <c r="C42" s="7"/>
      <c r="D42" s="5" t="s">
        <v>7</v>
      </c>
      <c r="E42" s="7"/>
      <c r="F42" s="8">
        <f t="shared" si="1"/>
        <v>45565</v>
      </c>
      <c r="G42" s="5"/>
      <c r="H42" s="6"/>
      <c r="I42" s="21">
        <v>129.02000000000001</v>
      </c>
    </row>
    <row r="43" spans="1:9" x14ac:dyDescent="0.35">
      <c r="A43" s="18" t="s">
        <v>12</v>
      </c>
      <c r="B43" s="4" t="s">
        <v>15</v>
      </c>
      <c r="C43" s="7"/>
      <c r="D43" s="5" t="s">
        <v>7</v>
      </c>
      <c r="E43" s="7"/>
      <c r="F43" s="8">
        <f t="shared" si="1"/>
        <v>45535</v>
      </c>
      <c r="G43" s="5"/>
      <c r="H43" s="6"/>
      <c r="I43" s="21">
        <v>117.11</v>
      </c>
    </row>
    <row r="44" spans="1:9" x14ac:dyDescent="0.35">
      <c r="A44" s="18" t="s">
        <v>12</v>
      </c>
      <c r="B44" s="4" t="s">
        <v>15</v>
      </c>
      <c r="C44" s="7"/>
      <c r="D44" s="5" t="s">
        <v>7</v>
      </c>
      <c r="E44" s="7"/>
      <c r="F44" s="8">
        <f t="shared" si="1"/>
        <v>45504</v>
      </c>
      <c r="G44" s="5"/>
      <c r="H44" s="6"/>
      <c r="I44" s="21">
        <v>115.69</v>
      </c>
    </row>
    <row r="45" spans="1:9" x14ac:dyDescent="0.35">
      <c r="A45" s="18" t="s">
        <v>12</v>
      </c>
      <c r="B45" s="4" t="s">
        <v>15</v>
      </c>
      <c r="C45" s="7"/>
      <c r="D45" s="5" t="s">
        <v>7</v>
      </c>
      <c r="E45" s="7"/>
      <c r="F45" s="8">
        <f t="shared" si="1"/>
        <v>45473</v>
      </c>
      <c r="G45" s="5"/>
      <c r="H45" s="6"/>
      <c r="I45" s="21">
        <v>109.54</v>
      </c>
    </row>
    <row r="46" spans="1:9" x14ac:dyDescent="0.35">
      <c r="A46" s="18" t="s">
        <v>12</v>
      </c>
      <c r="B46" s="4" t="s">
        <v>15</v>
      </c>
      <c r="C46" s="7"/>
      <c r="D46" s="5" t="s">
        <v>7</v>
      </c>
      <c r="E46" s="7"/>
      <c r="F46" s="8">
        <f t="shared" si="1"/>
        <v>45443</v>
      </c>
      <c r="G46" s="5"/>
      <c r="H46" s="6"/>
      <c r="I46" s="21">
        <v>115.32</v>
      </c>
    </row>
    <row r="47" spans="1:9" x14ac:dyDescent="0.35">
      <c r="A47" s="18" t="s">
        <v>12</v>
      </c>
      <c r="B47" s="4" t="s">
        <v>15</v>
      </c>
      <c r="C47" s="7"/>
      <c r="D47" s="5" t="s">
        <v>7</v>
      </c>
      <c r="E47" s="7"/>
      <c r="F47" s="8">
        <f t="shared" si="1"/>
        <v>45412</v>
      </c>
      <c r="G47" s="5"/>
      <c r="H47" s="6"/>
      <c r="I47" s="21">
        <v>115.59</v>
      </c>
    </row>
    <row r="48" spans="1:9" x14ac:dyDescent="0.35">
      <c r="A48" s="18" t="s">
        <v>12</v>
      </c>
      <c r="B48" s="4" t="s">
        <v>15</v>
      </c>
      <c r="C48" s="7"/>
      <c r="D48" s="5" t="s">
        <v>7</v>
      </c>
      <c r="E48" s="7"/>
      <c r="F48" s="8">
        <f t="shared" si="1"/>
        <v>45382</v>
      </c>
      <c r="G48" s="5"/>
      <c r="H48" s="6"/>
      <c r="I48" s="21">
        <v>121.55</v>
      </c>
    </row>
    <row r="49" spans="1:9" x14ac:dyDescent="0.35">
      <c r="A49" s="22" t="s">
        <v>12</v>
      </c>
      <c r="B49" s="23" t="s">
        <v>15</v>
      </c>
      <c r="C49" s="24"/>
      <c r="D49" s="25" t="s">
        <v>7</v>
      </c>
      <c r="E49" s="24"/>
      <c r="F49" s="26">
        <v>45355</v>
      </c>
      <c r="G49" s="25"/>
      <c r="H49" s="27"/>
      <c r="I49" s="28">
        <v>115.52</v>
      </c>
    </row>
    <row r="50" spans="1:9" s="15" customFormat="1" hidden="1" x14ac:dyDescent="0.35">
      <c r="A50" s="29" t="s">
        <v>13</v>
      </c>
      <c r="B50" s="30" t="s">
        <v>16</v>
      </c>
      <c r="C50" s="31"/>
      <c r="D50" s="12" t="s">
        <v>7</v>
      </c>
      <c r="E50" s="31"/>
      <c r="F50" s="35">
        <v>45700</v>
      </c>
      <c r="G50" s="32"/>
      <c r="H50" s="14"/>
      <c r="I50" s="34">
        <v>5</v>
      </c>
    </row>
    <row r="51" spans="1:9" hidden="1" x14ac:dyDescent="0.35">
      <c r="A51" s="18" t="s">
        <v>13</v>
      </c>
      <c r="B51" s="4" t="s">
        <v>16</v>
      </c>
      <c r="C51" s="7"/>
      <c r="D51" s="5" t="s">
        <v>7</v>
      </c>
      <c r="E51" s="7"/>
      <c r="F51" s="26">
        <v>45720</v>
      </c>
      <c r="G51" s="5"/>
      <c r="H51" s="6"/>
      <c r="I51" s="21">
        <v>4.95</v>
      </c>
    </row>
    <row r="52" spans="1:9" hidden="1" x14ac:dyDescent="0.35">
      <c r="A52" s="18" t="s">
        <v>13</v>
      </c>
      <c r="B52" s="4" t="s">
        <v>16</v>
      </c>
      <c r="C52" s="7"/>
      <c r="D52" s="5" t="s">
        <v>7</v>
      </c>
      <c r="E52" s="7"/>
      <c r="F52" s="26">
        <v>45729</v>
      </c>
      <c r="G52" s="5"/>
      <c r="H52" s="6"/>
      <c r="I52" s="21">
        <v>4.8</v>
      </c>
    </row>
    <row r="53" spans="1:9" hidden="1" x14ac:dyDescent="0.35">
      <c r="A53" s="18" t="s">
        <v>13</v>
      </c>
      <c r="B53" s="4" t="s">
        <v>16</v>
      </c>
      <c r="C53" s="7"/>
      <c r="D53" s="5" t="s">
        <v>7</v>
      </c>
      <c r="E53" s="7"/>
      <c r="F53" s="26">
        <v>45741</v>
      </c>
      <c r="G53" s="5"/>
      <c r="H53" s="6"/>
      <c r="I53" s="21">
        <v>4.84</v>
      </c>
    </row>
    <row r="54" spans="1:9" hidden="1" x14ac:dyDescent="0.35">
      <c r="A54" s="18" t="s">
        <v>13</v>
      </c>
      <c r="B54" s="4" t="s">
        <v>16</v>
      </c>
      <c r="C54" s="7"/>
      <c r="D54" s="5" t="s">
        <v>7</v>
      </c>
      <c r="E54" s="7"/>
      <c r="F54" s="26">
        <v>45755</v>
      </c>
      <c r="G54" s="5"/>
      <c r="H54" s="6"/>
      <c r="I54" s="21">
        <v>4.67</v>
      </c>
    </row>
    <row r="55" spans="1:9" hidden="1" x14ac:dyDescent="0.35">
      <c r="A55" s="18" t="s">
        <v>13</v>
      </c>
      <c r="B55" s="4" t="s">
        <v>16</v>
      </c>
      <c r="C55" s="7"/>
      <c r="D55" s="5" t="s">
        <v>7</v>
      </c>
      <c r="E55" s="7"/>
      <c r="F55" s="26">
        <v>45770</v>
      </c>
      <c r="G55" s="5"/>
      <c r="H55" s="6"/>
      <c r="I55" s="21">
        <v>4.66</v>
      </c>
    </row>
    <row r="56" spans="1:9" hidden="1" x14ac:dyDescent="0.35">
      <c r="A56" s="18" t="s">
        <v>13</v>
      </c>
      <c r="B56" s="4" t="s">
        <v>16</v>
      </c>
      <c r="C56" s="7"/>
      <c r="D56" s="5" t="s">
        <v>7</v>
      </c>
      <c r="E56" s="7"/>
      <c r="F56" s="26">
        <v>45789</v>
      </c>
      <c r="G56" s="5"/>
      <c r="H56" s="6"/>
      <c r="I56" s="21">
        <v>4.8099999999999996</v>
      </c>
    </row>
    <row r="57" spans="1:9" hidden="1" x14ac:dyDescent="0.35">
      <c r="A57" s="18" t="s">
        <v>13</v>
      </c>
      <c r="B57" s="4" t="s">
        <v>16</v>
      </c>
      <c r="C57" s="7"/>
      <c r="D57" s="5" t="s">
        <v>7</v>
      </c>
      <c r="E57" s="7"/>
      <c r="F57" s="26">
        <v>45796</v>
      </c>
      <c r="G57" s="5"/>
      <c r="H57" s="6"/>
      <c r="I57" s="21">
        <v>4.92</v>
      </c>
    </row>
    <row r="58" spans="1:9" hidden="1" x14ac:dyDescent="0.35">
      <c r="A58" s="18" t="s">
        <v>13</v>
      </c>
      <c r="B58" s="4" t="s">
        <v>16</v>
      </c>
      <c r="C58" s="7"/>
      <c r="D58" s="5" t="s">
        <v>7</v>
      </c>
      <c r="E58" s="7"/>
      <c r="F58" s="26">
        <v>45818</v>
      </c>
      <c r="G58" s="5"/>
      <c r="H58" s="6"/>
      <c r="I58" s="21">
        <v>4.91</v>
      </c>
    </row>
    <row r="59" spans="1:9" hidden="1" x14ac:dyDescent="0.35">
      <c r="A59" s="18" t="s">
        <v>13</v>
      </c>
      <c r="B59" s="4" t="s">
        <v>16</v>
      </c>
      <c r="C59" s="7"/>
      <c r="D59" s="5" t="s">
        <v>7</v>
      </c>
      <c r="E59" s="7"/>
      <c r="F59" s="26">
        <v>45860</v>
      </c>
      <c r="G59" s="5"/>
      <c r="H59" s="6"/>
      <c r="I59" s="21">
        <v>4.9400000000000004</v>
      </c>
    </row>
    <row r="60" spans="1:9" hidden="1" x14ac:dyDescent="0.35">
      <c r="A60" s="18" t="s">
        <v>13</v>
      </c>
      <c r="B60" s="4" t="s">
        <v>16</v>
      </c>
      <c r="C60" s="7"/>
      <c r="D60" s="5" t="s">
        <v>7</v>
      </c>
      <c r="E60" s="7"/>
      <c r="F60" s="26">
        <v>45898</v>
      </c>
      <c r="G60" s="5"/>
      <c r="H60" s="6"/>
      <c r="I60" s="21">
        <v>4.99</v>
      </c>
    </row>
    <row r="61" spans="1:9" hidden="1" x14ac:dyDescent="0.35">
      <c r="A61" s="18" t="s">
        <v>13</v>
      </c>
      <c r="B61" s="4" t="s">
        <v>16</v>
      </c>
      <c r="C61" s="7"/>
      <c r="D61" s="5" t="s">
        <v>7</v>
      </c>
      <c r="E61" s="7"/>
      <c r="F61" s="26">
        <v>45918</v>
      </c>
      <c r="G61" s="5"/>
      <c r="H61" s="6"/>
      <c r="I61" s="21">
        <v>4.9800000000000004</v>
      </c>
    </row>
    <row r="62" spans="1:9" hidden="1" x14ac:dyDescent="0.35">
      <c r="A62" s="18" t="s">
        <v>13</v>
      </c>
      <c r="B62" s="4" t="s">
        <v>16</v>
      </c>
      <c r="C62" s="7"/>
      <c r="D62" s="5" t="s">
        <v>7</v>
      </c>
      <c r="E62" s="7"/>
      <c r="F62" s="26">
        <v>45937</v>
      </c>
      <c r="G62" s="5"/>
      <c r="H62" s="6"/>
      <c r="I62" s="21">
        <v>5.04</v>
      </c>
    </row>
    <row r="63" spans="1:9" hidden="1" x14ac:dyDescent="0.35">
      <c r="A63" s="18" t="s">
        <v>13</v>
      </c>
      <c r="B63" s="4" t="s">
        <v>16</v>
      </c>
      <c r="C63" s="7"/>
      <c r="D63" s="5" t="s">
        <v>7</v>
      </c>
      <c r="E63" s="7"/>
      <c r="F63" s="26">
        <v>45947</v>
      </c>
      <c r="G63" s="5"/>
      <c r="H63" s="6"/>
      <c r="I63" s="21">
        <v>5.01</v>
      </c>
    </row>
    <row r="64" spans="1:9" hidden="1" x14ac:dyDescent="0.35">
      <c r="A64" s="18" t="s">
        <v>13</v>
      </c>
      <c r="B64" s="4" t="s">
        <v>16</v>
      </c>
      <c r="C64" s="7"/>
      <c r="D64" s="5" t="s">
        <v>7</v>
      </c>
      <c r="E64" s="7"/>
      <c r="F64" s="26">
        <v>45964</v>
      </c>
      <c r="G64" s="5"/>
      <c r="H64" s="6"/>
      <c r="I64" s="21">
        <v>5.0999999999999996</v>
      </c>
    </row>
    <row r="65" spans="1:9" hidden="1" x14ac:dyDescent="0.35">
      <c r="A65" s="18" t="s">
        <v>13</v>
      </c>
      <c r="B65" s="4" t="s">
        <v>16</v>
      </c>
      <c r="C65" s="7"/>
      <c r="D65" s="5" t="s">
        <v>7</v>
      </c>
      <c r="E65" s="7"/>
      <c r="F65" s="26">
        <v>45982</v>
      </c>
      <c r="G65" s="5"/>
      <c r="H65" s="6"/>
      <c r="I65" s="21">
        <v>4.9400000000000004</v>
      </c>
    </row>
    <row r="66" spans="1:9" hidden="1" x14ac:dyDescent="0.35">
      <c r="A66" s="18" t="s">
        <v>13</v>
      </c>
      <c r="B66" s="4" t="s">
        <v>16</v>
      </c>
      <c r="C66" s="7"/>
      <c r="D66" s="5" t="s">
        <v>7</v>
      </c>
      <c r="E66" s="7"/>
      <c r="F66" s="26">
        <v>45989</v>
      </c>
      <c r="G66" s="5"/>
      <c r="H66" s="6"/>
      <c r="I66" s="21">
        <v>5.05</v>
      </c>
    </row>
    <row r="67" spans="1:9" hidden="1" x14ac:dyDescent="0.35">
      <c r="A67" s="18" t="s">
        <v>13</v>
      </c>
      <c r="B67" s="4" t="s">
        <v>16</v>
      </c>
      <c r="C67" s="7"/>
      <c r="D67" s="5" t="s">
        <v>7</v>
      </c>
      <c r="E67" s="7"/>
      <c r="F67" s="26">
        <v>46009</v>
      </c>
      <c r="G67" s="5"/>
      <c r="H67" s="6"/>
      <c r="I67" s="21">
        <v>4.92</v>
      </c>
    </row>
    <row r="68" spans="1:9" hidden="1" x14ac:dyDescent="0.35">
      <c r="A68" s="18" t="s">
        <v>13</v>
      </c>
      <c r="B68" s="4" t="s">
        <v>16</v>
      </c>
      <c r="C68" s="7"/>
      <c r="D68" s="5" t="s">
        <v>7</v>
      </c>
      <c r="E68" s="7"/>
      <c r="F68" s="26">
        <v>46022</v>
      </c>
      <c r="G68" s="5"/>
      <c r="H68" s="6"/>
      <c r="I68" s="21">
        <v>5.01</v>
      </c>
    </row>
    <row r="69" spans="1:9" hidden="1" x14ac:dyDescent="0.35">
      <c r="A69" s="18" t="s">
        <v>13</v>
      </c>
      <c r="B69" s="4" t="s">
        <v>16</v>
      </c>
      <c r="C69" s="7"/>
      <c r="D69" s="5" t="s">
        <v>7</v>
      </c>
      <c r="E69" s="7"/>
      <c r="F69" s="26">
        <v>45669</v>
      </c>
      <c r="G69" s="5"/>
      <c r="H69" s="6"/>
      <c r="I69" s="21">
        <v>5.1100000000000003</v>
      </c>
    </row>
    <row r="70" spans="1:9" hidden="1" x14ac:dyDescent="0.35">
      <c r="A70" s="18" t="s">
        <v>13</v>
      </c>
      <c r="B70" s="4" t="s">
        <v>16</v>
      </c>
      <c r="C70" s="7"/>
      <c r="D70" s="5" t="s">
        <v>7</v>
      </c>
      <c r="E70" s="7"/>
      <c r="F70" s="26">
        <v>46043</v>
      </c>
      <c r="G70" s="5"/>
      <c r="H70" s="6"/>
      <c r="I70" s="21">
        <v>4.96</v>
      </c>
    </row>
    <row r="71" spans="1:9" hidden="1" x14ac:dyDescent="0.35">
      <c r="A71" s="18" t="s">
        <v>13</v>
      </c>
      <c r="B71" s="4" t="s">
        <v>16</v>
      </c>
      <c r="C71" s="7"/>
      <c r="D71" s="5" t="s">
        <v>7</v>
      </c>
      <c r="E71" s="7"/>
      <c r="F71" s="26">
        <v>46045</v>
      </c>
      <c r="G71" s="5"/>
      <c r="H71" s="6"/>
      <c r="I71" s="21">
        <v>5</v>
      </c>
    </row>
    <row r="72" spans="1:9" hidden="1" x14ac:dyDescent="0.35">
      <c r="A72" s="18" t="s">
        <v>13</v>
      </c>
      <c r="B72" s="4" t="s">
        <v>16</v>
      </c>
      <c r="C72" s="7"/>
      <c r="D72" s="5" t="s">
        <v>7</v>
      </c>
      <c r="E72" s="7"/>
      <c r="F72" s="26">
        <v>46050</v>
      </c>
      <c r="G72" s="5"/>
      <c r="H72" s="6"/>
      <c r="I72" s="21">
        <v>4.97</v>
      </c>
    </row>
    <row r="73" spans="1:9" s="15" customFormat="1" hidden="1" x14ac:dyDescent="0.35">
      <c r="A73" s="29" t="s">
        <v>14</v>
      </c>
      <c r="B73" s="30" t="s">
        <v>17</v>
      </c>
      <c r="C73" s="31"/>
      <c r="D73" s="32" t="s">
        <v>7</v>
      </c>
      <c r="E73" s="31"/>
      <c r="F73" s="35">
        <v>46052</v>
      </c>
      <c r="G73" s="32"/>
      <c r="H73" s="33"/>
      <c r="I73" s="34">
        <v>40.47</v>
      </c>
    </row>
    <row r="74" spans="1:9" hidden="1" x14ac:dyDescent="0.35">
      <c r="A74" s="18" t="s">
        <v>14</v>
      </c>
      <c r="B74" s="4" t="s">
        <v>17</v>
      </c>
      <c r="C74" s="7"/>
      <c r="D74" s="5" t="s">
        <v>7</v>
      </c>
      <c r="E74" s="7"/>
      <c r="F74" s="8">
        <f>+F73-1</f>
        <v>46051</v>
      </c>
      <c r="G74" s="5"/>
      <c r="H74" s="6"/>
      <c r="I74" s="21">
        <v>44.31</v>
      </c>
    </row>
    <row r="75" spans="1:9" hidden="1" x14ac:dyDescent="0.35">
      <c r="A75" s="18" t="s">
        <v>14</v>
      </c>
      <c r="B75" s="4" t="s">
        <v>17</v>
      </c>
      <c r="C75" s="7"/>
      <c r="D75" s="5" t="s">
        <v>7</v>
      </c>
      <c r="E75" s="7"/>
      <c r="F75" s="8">
        <f t="shared" ref="F75:F82" si="2">+F74-1</f>
        <v>46050</v>
      </c>
      <c r="G75" s="5"/>
      <c r="H75" s="6"/>
      <c r="I75" s="21">
        <v>45.81</v>
      </c>
    </row>
    <row r="76" spans="1:9" hidden="1" x14ac:dyDescent="0.35">
      <c r="A76" s="18" t="s">
        <v>14</v>
      </c>
      <c r="B76" s="4" t="s">
        <v>17</v>
      </c>
      <c r="C76" s="7"/>
      <c r="D76" s="5" t="s">
        <v>7</v>
      </c>
      <c r="E76" s="7"/>
      <c r="F76" s="8">
        <f t="shared" si="2"/>
        <v>46049</v>
      </c>
      <c r="G76" s="5"/>
      <c r="H76" s="6"/>
      <c r="I76" s="21">
        <v>44.51</v>
      </c>
    </row>
    <row r="77" spans="1:9" hidden="1" x14ac:dyDescent="0.35">
      <c r="A77" s="18" t="s">
        <v>14</v>
      </c>
      <c r="B77" s="4" t="s">
        <v>17</v>
      </c>
      <c r="C77" s="7"/>
      <c r="D77" s="5" t="s">
        <v>7</v>
      </c>
      <c r="E77" s="7"/>
      <c r="F77" s="8">
        <f t="shared" si="2"/>
        <v>46048</v>
      </c>
      <c r="G77" s="5"/>
      <c r="H77" s="6"/>
      <c r="I77" s="21">
        <v>47.86</v>
      </c>
    </row>
    <row r="78" spans="1:9" hidden="1" x14ac:dyDescent="0.35">
      <c r="A78" s="18" t="s">
        <v>14</v>
      </c>
      <c r="B78" s="4" t="s">
        <v>17</v>
      </c>
      <c r="C78" s="7"/>
      <c r="D78" s="5" t="s">
        <v>7</v>
      </c>
      <c r="E78" s="7"/>
      <c r="F78" s="8">
        <v>46045</v>
      </c>
      <c r="G78" s="5"/>
      <c r="H78" s="6"/>
      <c r="I78" s="21">
        <v>45.69</v>
      </c>
    </row>
    <row r="79" spans="1:9" hidden="1" x14ac:dyDescent="0.35">
      <c r="A79" s="18" t="s">
        <v>14</v>
      </c>
      <c r="B79" s="4" t="s">
        <v>17</v>
      </c>
      <c r="C79" s="7"/>
      <c r="D79" s="5" t="s">
        <v>7</v>
      </c>
      <c r="E79" s="7"/>
      <c r="F79" s="8">
        <f t="shared" si="2"/>
        <v>46044</v>
      </c>
      <c r="G79" s="5"/>
      <c r="H79" s="6"/>
      <c r="I79" s="21">
        <v>44.71</v>
      </c>
    </row>
    <row r="80" spans="1:9" hidden="1" x14ac:dyDescent="0.35">
      <c r="A80" s="18" t="s">
        <v>14</v>
      </c>
      <c r="B80" s="4" t="s">
        <v>17</v>
      </c>
      <c r="C80" s="7"/>
      <c r="D80" s="5" t="s">
        <v>7</v>
      </c>
      <c r="E80" s="7"/>
      <c r="F80" s="8">
        <f t="shared" si="2"/>
        <v>46043</v>
      </c>
      <c r="G80" s="5"/>
      <c r="H80" s="6"/>
      <c r="I80" s="21">
        <v>43.1</v>
      </c>
    </row>
    <row r="81" spans="1:9" hidden="1" x14ac:dyDescent="0.35">
      <c r="A81" s="18" t="s">
        <v>14</v>
      </c>
      <c r="B81" s="4" t="s">
        <v>17</v>
      </c>
      <c r="C81" s="7"/>
      <c r="D81" s="5" t="s">
        <v>7</v>
      </c>
      <c r="E81" s="7"/>
      <c r="F81" s="8">
        <f t="shared" si="2"/>
        <v>46042</v>
      </c>
      <c r="G81" s="5"/>
      <c r="H81" s="6"/>
      <c r="I81" s="21">
        <v>42.54</v>
      </c>
    </row>
    <row r="82" spans="1:9" hidden="1" x14ac:dyDescent="0.35">
      <c r="A82" s="18" t="s">
        <v>14</v>
      </c>
      <c r="B82" s="4" t="s">
        <v>17</v>
      </c>
      <c r="C82" s="7"/>
      <c r="D82" s="5" t="s">
        <v>7</v>
      </c>
      <c r="E82" s="7"/>
      <c r="F82" s="8">
        <f t="shared" si="2"/>
        <v>46041</v>
      </c>
      <c r="G82" s="5"/>
      <c r="H82" s="6"/>
      <c r="I82" s="21">
        <v>42.5</v>
      </c>
    </row>
  </sheetData>
  <conditionalFormatting sqref="A26:A50">
    <cfRule type="containsText" dxfId="3" priority="29" stopIfTrue="1" operator="containsText" text="BTP">
      <formula>NOT(ISERROR(SEARCH("BTP",A26)))</formula>
    </cfRule>
    <cfRule type="expression" dxfId="2" priority="30" stopIfTrue="1">
      <formula>IF(AND(ISNUMBER(SEARCH("H2O", A26)), ISNUMBER(SEARCH("SP", A26))), 1,0)</formula>
    </cfRule>
  </conditionalFormatting>
  <conditionalFormatting sqref="A73">
    <cfRule type="containsText" dxfId="1" priority="11" stopIfTrue="1" operator="containsText" text="BTP">
      <formula>NOT(ISERROR(SEARCH("BTP",A73)))</formula>
    </cfRule>
    <cfRule type="expression" dxfId="0" priority="12" stopIfTrue="1">
      <formula>IF(AND(ISNUMBER(SEARCH("H2O", A73)), ISNUMBER(SEARCH("SP", A73))), 1,0)</formula>
    </cfRule>
  </conditionalFormatting>
  <dataValidations disablePrompts="1" count="1">
    <dataValidation type="list" allowBlank="1" showInputMessage="1" showErrorMessage="1" sqref="G2 G4:G48" xr:uid="{786B1B08-543B-41BE-8266-499A04655516}">
      <formula1>"Acquisto,Vendita,-"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4DA1-8EEA-4D5C-B0E7-EB3D7C84F8B5}">
  <dimension ref="A1"/>
  <sheetViews>
    <sheetView workbookViewId="0">
      <selection activeCell="G3" sqref="G3:G1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2026-01-31T18:43:02Z</dcterms:modified>
</cp:coreProperties>
</file>