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5AB2FACB-0AA2-467A-9247-D684617784E2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" i="1" l="1"/>
  <c r="Y24" i="1"/>
  <c r="AA24" i="1" s="1"/>
  <c r="Z23" i="1"/>
  <c r="Y23" i="1"/>
  <c r="AA23" i="1" s="1"/>
  <c r="Z22" i="1"/>
  <c r="Y22" i="1"/>
  <c r="AA22" i="1" s="1"/>
  <c r="Y21" i="1"/>
  <c r="Y20" i="1"/>
  <c r="Y19" i="1"/>
  <c r="Y18" i="1"/>
  <c r="Z17" i="1"/>
  <c r="Y17" i="1"/>
  <c r="AA17" i="1" s="1"/>
  <c r="Z16" i="1"/>
  <c r="Y16" i="1"/>
  <c r="AA16" i="1" s="1"/>
  <c r="Z15" i="1"/>
  <c r="Y15" i="1"/>
  <c r="AA15" i="1" s="1"/>
  <c r="Y14" i="1"/>
  <c r="Y13" i="1"/>
  <c r="Y12" i="1"/>
  <c r="Z11" i="1"/>
  <c r="Y11" i="1"/>
  <c r="AA11" i="1" s="1"/>
  <c r="Z10" i="1"/>
  <c r="Y10" i="1"/>
  <c r="AA10" i="1" s="1"/>
  <c r="Z9" i="1"/>
  <c r="Y9" i="1"/>
  <c r="AA9" i="1" s="1"/>
  <c r="Y8" i="1"/>
  <c r="Y7" i="1"/>
  <c r="Z6" i="1"/>
  <c r="Y6" i="1"/>
  <c r="AA6" i="1" s="1"/>
  <c r="Y5" i="1"/>
  <c r="Z4" i="1"/>
  <c r="Y4" i="1"/>
  <c r="AA4" i="1" s="1"/>
  <c r="Z3" i="1"/>
  <c r="Y3" i="1"/>
  <c r="AA3" i="1" s="1"/>
  <c r="Y2" i="1"/>
  <c r="K3" i="1"/>
  <c r="L3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A21" i="1" l="1"/>
  <c r="Z21" i="1"/>
  <c r="AA20" i="1"/>
  <c r="Z20" i="1"/>
  <c r="AA19" i="1"/>
  <c r="Z19" i="1"/>
  <c r="AA18" i="1"/>
  <c r="Z18" i="1"/>
  <c r="AA14" i="1"/>
  <c r="Z14" i="1"/>
  <c r="AA13" i="1"/>
  <c r="Z13" i="1"/>
  <c r="AA12" i="1"/>
  <c r="Z12" i="1"/>
  <c r="AA8" i="1"/>
  <c r="Z8" i="1"/>
  <c r="AA7" i="1"/>
  <c r="Z7" i="1"/>
  <c r="Z5" i="1"/>
  <c r="AA5" i="1"/>
  <c r="L51" i="1"/>
  <c r="L49" i="1"/>
  <c r="L48" i="1"/>
  <c r="L46" i="1"/>
  <c r="L44" i="1"/>
  <c r="L42" i="1"/>
  <c r="L39" i="1"/>
  <c r="L38" i="1"/>
  <c r="L36" i="1"/>
  <c r="L34" i="1"/>
  <c r="L32" i="1"/>
  <c r="L30" i="1"/>
  <c r="K50" i="1"/>
  <c r="K49" i="1"/>
  <c r="K47" i="1"/>
  <c r="K45" i="1"/>
  <c r="K43" i="1"/>
  <c r="K41" i="1"/>
  <c r="K40" i="1"/>
  <c r="K38" i="1"/>
  <c r="K35" i="1"/>
  <c r="K33" i="1"/>
  <c r="K31" i="1"/>
  <c r="L50" i="1"/>
  <c r="L47" i="1"/>
  <c r="L45" i="1"/>
  <c r="L43" i="1"/>
  <c r="L41" i="1"/>
  <c r="L40" i="1"/>
  <c r="L37" i="1"/>
  <c r="L35" i="1"/>
  <c r="L33" i="1"/>
  <c r="L31" i="1"/>
  <c r="K51" i="1"/>
  <c r="K48" i="1"/>
  <c r="K46" i="1"/>
  <c r="K44" i="1"/>
  <c r="K42" i="1"/>
  <c r="K39" i="1"/>
  <c r="K37" i="1"/>
  <c r="K36" i="1"/>
  <c r="K34" i="1"/>
  <c r="K32" i="1"/>
  <c r="K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" authorId="0" shapeId="0" xr:uid="{0BCE0E72-55E7-4A1B-A343-0323F3EAA037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0" shapeId="0" xr:uid="{EA4A06DD-CB98-44E9-B55F-C51F4BFD362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<sst xmlns="http://schemas.openxmlformats.org/spreadsheetml/2006/main" count="246" uniqueCount="18">
  <si>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</si>
  <si>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</si>
  <si>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</si>
  <si>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</si>
  <si>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</si>
  <si>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</si>
  <si>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</si>
  <si>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</si>
  <si>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</si>
  <si>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</si>
  <si>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</si>
  <si>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FR0010923383</t>
  </si>
  <si>
    <t>H2O MULTISTRATEGIES</t>
  </si>
  <si>
    <t>MWRR</t>
  </si>
  <si>
    <t>Controvalore</t>
  </si>
  <si>
    <t>GAIN</t>
  </si>
  <si>
    <t>LU0345361124</t>
  </si>
  <si>
    <t>FID ASIA AGGR AC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</si>
</sst>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Color50]0.00%;[Red]\-0.00%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/>
    </xf>
    <xf numFmtId="8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AA53"/>
  <sheetViews>
    <sheetView showGridLines="0" tabSelected="1" workbookViewId="0">
      <selection activeCell="M10" sqref="M10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21.36328125" bestFit="1" customWidth="1"/>
    <col min="9" max="10" width="21.90625" customWidth="1"/>
    <col min="11" max="11" width="17.7265625" customWidth="1"/>
    <col min="12" max="12" width="14.54296875" customWidth="1"/>
    <col min="16" max="16" width="28" bestFit="1" customWidth="1"/>
    <col min="17" max="17" width="14.54296875" bestFit="1" customWidth="1"/>
    <col min="18" max="18" width="8.81640625" bestFit="1" customWidth="1"/>
    <col min="19" max="19" width="6" bestFit="1" customWidth="1"/>
    <col min="20" max="20" width="17.26953125" bestFit="1" customWidth="1"/>
    <col min="21" max="21" width="20.81640625" bestFit="1" customWidth="1"/>
    <col min="22" max="22" width="16.54296875" customWidth="1"/>
    <col min="23" max="23" width="21.36328125" bestFit="1" customWidth="1"/>
    <col min="24" max="25" width="21.90625" customWidth="1"/>
    <col min="26" max="26" width="17.7265625" customWidth="1"/>
    <col min="27" max="27" width="14.5429687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  <c r="J1" s="3" t="s">
        <v>14</v>
      </c>
      <c r="K1" s="3" t="s">
        <v>13</v>
      </c>
      <c r="L1" s="3" t="s">
        <v>15</v>
      </c>
      <c r="P1" s="1" t="s">
        <v>0</v>
      </c>
      <c r="Q1" s="1" t="s">
        <v>1</v>
      </c>
      <c r="R1" s="1" t="s">
        <v>2</v>
      </c>
      <c r="S1" s="1" t="s">
        <v>3</v>
      </c>
      <c r="T1" s="2" t="s">
        <v>4</v>
      </c>
      <c r="U1" s="3" t="s">
        <v>5</v>
      </c>
      <c r="V1" s="3" t="s">
        <v>6</v>
      </c>
      <c r="W1" s="3" t="s">
        <v>9</v>
      </c>
      <c r="X1" s="3" t="s">
        <v>8</v>
      </c>
      <c r="Y1" s="3" t="s">
        <v>14</v>
      </c>
      <c r="Z1" s="3" t="s">
        <v>13</v>
      </c>
      <c r="AA1" s="3" t="s">
        <v>15</v>
      </c>
    </row>
    <row r="2" spans="1:27" x14ac:dyDescent="0.35">
      <c r="A2" s="4" t="s">
        <v>12</v>
      </c>
      <c r="B2" s="4" t="s">
        <v>11</v>
      </c>
      <c r="C2" s="7">
        <v>255.42699999999999</v>
      </c>
      <c r="D2" s="5" t="s">
        <v>7</v>
      </c>
      <c r="E2" s="7">
        <v>242.5</v>
      </c>
      <c r="F2" s="8">
        <v>45355</v>
      </c>
      <c r="G2" s="5" t="s">
        <v>10</v>
      </c>
      <c r="H2" s="6">
        <v>242.5</v>
      </c>
      <c r="I2" s="6">
        <v>242.5</v>
      </c>
      <c r="J2" s="10">
        <f>-I2*C2</f>
        <v>-61941.047500000001</v>
      </c>
      <c r="K2" s="11"/>
      <c r="L2" s="11"/>
      <c r="P2" s="4" t="s">
        <v>17</v>
      </c>
      <c r="Q2" s="4" t="s">
        <v>16</v>
      </c>
      <c r="R2" s="7">
        <v>786.29</v>
      </c>
      <c r="S2" s="5" t="s">
        <v>7</v>
      </c>
      <c r="T2" s="9">
        <v>28.88</v>
      </c>
      <c r="U2" s="8">
        <v>45355</v>
      </c>
      <c r="V2" s="5" t="s">
        <v>10</v>
      </c>
      <c r="W2" s="9">
        <v>28.88</v>
      </c>
      <c r="X2" s="9">
        <v>28.88</v>
      </c>
      <c r="Y2" s="10">
        <f>-X2*R2</f>
        <v>-22708.055199999999</v>
      </c>
      <c r="Z2" s="11"/>
      <c r="AA2" s="11"/>
    </row>
    <row r="3" spans="1:27" x14ac:dyDescent="0.35">
      <c r="A3" s="4" t="s">
        <v>12</v>
      </c>
      <c r="B3" s="4" t="s">
        <v>11</v>
      </c>
      <c r="C3" s="7">
        <v>255.42699999999999</v>
      </c>
      <c r="D3" s="5" t="s">
        <v>7</v>
      </c>
      <c r="E3" s="7"/>
      <c r="F3" s="8">
        <v>45383</v>
      </c>
      <c r="G3" s="5"/>
      <c r="H3" s="6"/>
      <c r="I3" s="9">
        <v>261.94</v>
      </c>
      <c r="J3" s="10">
        <f t="shared" ref="J3:J24" si="0">+I3*C3</f>
        <v>66906.548379999993</v>
      </c>
      <c r="K3" s="11">
        <f>XIRR(_xlfn.VSTACK($J$2:$J$2,J3:J3),_xlfn.VSTACK($F$2:$F$2,F3:F3))</f>
        <v>1.7325437188148498</v>
      </c>
      <c r="L3" s="11">
        <f>(J3+$J$2)/ABS($J$2)</f>
        <v>8.0164948453608123E-2</v>
      </c>
      <c r="P3" s="4" t="s">
        <v>17</v>
      </c>
      <c r="Q3" s="4" t="s">
        <v>16</v>
      </c>
      <c r="R3" s="7">
        <v>786.29</v>
      </c>
      <c r="S3" s="5" t="s">
        <v>7</v>
      </c>
      <c r="T3" s="7"/>
      <c r="U3" s="8">
        <v>45383</v>
      </c>
      <c r="V3" s="4"/>
      <c r="W3" s="4"/>
      <c r="X3" s="9">
        <v>30.01</v>
      </c>
      <c r="Y3" s="10">
        <f t="shared" ref="Y3:Y24" si="1">+X3*R3</f>
        <v>23596.562900000001</v>
      </c>
      <c r="Z3" s="11">
        <f>XIRR(_xlfn.VSTACK($J$29,Y3:Y3),_xlfn.VSTACK($F$29,U3:U3))</f>
        <v>0.64926255345344552</v>
      </c>
      <c r="AA3" s="11">
        <f>(Y3+$J$29)/ABS($J$2)</f>
        <v>1.4344408689568931E-2</v>
      </c>
    </row>
    <row r="4" spans="1:27" x14ac:dyDescent="0.35">
      <c r="A4" s="4" t="s">
        <v>12</v>
      </c>
      <c r="B4" s="4" t="s">
        <v>11</v>
      </c>
      <c r="C4" s="7">
        <v>255.42699999999999</v>
      </c>
      <c r="D4" s="5" t="s">
        <v>7</v>
      </c>
      <c r="E4" s="7"/>
      <c r="F4" s="8">
        <v>45413</v>
      </c>
      <c r="G4" s="5"/>
      <c r="H4" s="6"/>
      <c r="I4" s="9">
        <v>257.86</v>
      </c>
      <c r="J4" s="10">
        <f t="shared" si="0"/>
        <v>65864.406220000004</v>
      </c>
      <c r="K4" s="11">
        <f>XIRR(_xlfn.VSTACK($J$2:$J$2,J4:J4),_xlfn.VSTACK($F$2:$F$2,F4:F4))</f>
        <v>0.47180792689323425</v>
      </c>
      <c r="L4" s="11">
        <f t="shared" ref="L4:L24" si="2">(J4+$J$2)/ABS($J$2)</f>
        <v>6.3340206185567072E-2</v>
      </c>
      <c r="P4" s="4" t="s">
        <v>17</v>
      </c>
      <c r="Q4" s="4" t="s">
        <v>16</v>
      </c>
      <c r="R4" s="7">
        <v>786.29</v>
      </c>
      <c r="S4" s="5" t="s">
        <v>7</v>
      </c>
      <c r="T4" s="7"/>
      <c r="U4" s="8">
        <v>45413</v>
      </c>
      <c r="V4" s="4"/>
      <c r="W4" s="4"/>
      <c r="X4" s="9">
        <v>29.79</v>
      </c>
      <c r="Y4" s="10">
        <f t="shared" si="1"/>
        <v>23423.579099999999</v>
      </c>
      <c r="Z4" s="11">
        <f t="shared" ref="Z4:Z24" si="3">XIRR(_xlfn.VSTACK($J$29,Y4:Y4),_xlfn.VSTACK($F$29,U4:U4))</f>
        <v>0.21559515595436096</v>
      </c>
      <c r="AA4" s="11">
        <f t="shared" ref="AA4:AA24" si="4">(Y4+$J$29)/ABS($J$2)</f>
        <v>1.1551691953546639E-2</v>
      </c>
    </row>
    <row r="5" spans="1:27" x14ac:dyDescent="0.35">
      <c r="A5" s="4" t="s">
        <v>12</v>
      </c>
      <c r="B5" s="4" t="s">
        <v>11</v>
      </c>
      <c r="C5" s="7">
        <v>255.42699999999999</v>
      </c>
      <c r="D5" s="5" t="s">
        <v>7</v>
      </c>
      <c r="E5" s="7"/>
      <c r="F5" s="8">
        <v>45444</v>
      </c>
      <c r="G5" s="5"/>
      <c r="H5" s="6"/>
      <c r="I5" s="9">
        <v>257.8</v>
      </c>
      <c r="J5" s="10">
        <f t="shared" si="0"/>
        <v>65849.080600000001</v>
      </c>
      <c r="K5" s="11">
        <f>XIRR(_xlfn.VSTACK($J$2:$J$2,J5:J5),_xlfn.VSTACK($F$2:$F$2,F5:F5))</f>
        <v>0.28520277142524719</v>
      </c>
      <c r="L5" s="11">
        <f t="shared" si="2"/>
        <v>6.3092783505154654E-2</v>
      </c>
      <c r="P5" s="4" t="s">
        <v>17</v>
      </c>
      <c r="Q5" s="4" t="s">
        <v>16</v>
      </c>
      <c r="R5" s="7">
        <v>786.29</v>
      </c>
      <c r="S5" s="5" t="s">
        <v>7</v>
      </c>
      <c r="T5" s="7"/>
      <c r="U5" s="8">
        <v>45444</v>
      </c>
      <c r="V5" s="4"/>
      <c r="W5" s="4"/>
      <c r="X5" s="9">
        <v>28.84</v>
      </c>
      <c r="Y5" s="10">
        <f t="shared" si="1"/>
        <v>22676.603599999999</v>
      </c>
      <c r="Z5" s="11">
        <f t="shared" si="3"/>
        <v>-5.6680411100387572E-3</v>
      </c>
      <c r="AA5" s="11">
        <f t="shared" si="4"/>
        <v>-5.0776667927678054E-4</v>
      </c>
    </row>
    <row r="6" spans="1:27" x14ac:dyDescent="0.35">
      <c r="A6" s="4" t="s">
        <v>12</v>
      </c>
      <c r="B6" s="4" t="s">
        <v>11</v>
      </c>
      <c r="C6" s="7">
        <v>255.42699999999999</v>
      </c>
      <c r="D6" s="5" t="s">
        <v>7</v>
      </c>
      <c r="E6" s="7"/>
      <c r="F6" s="8">
        <v>45474</v>
      </c>
      <c r="G6" s="5"/>
      <c r="H6" s="6"/>
      <c r="I6" s="9">
        <v>233.26</v>
      </c>
      <c r="J6" s="10">
        <f t="shared" si="0"/>
        <v>59580.902019999994</v>
      </c>
      <c r="K6" s="11">
        <f>XIRR(_xlfn.VSTACK($J$2:$J$2,J6:J6),_xlfn.VSTACK($F$2:$F$2,F6:F6))</f>
        <v>-0.11233035288751125</v>
      </c>
      <c r="L6" s="11">
        <f t="shared" si="2"/>
        <v>-3.8103092783505259E-2</v>
      </c>
      <c r="P6" s="4" t="s">
        <v>17</v>
      </c>
      <c r="Q6" s="4" t="s">
        <v>16</v>
      </c>
      <c r="R6" s="7">
        <v>786.29</v>
      </c>
      <c r="S6" s="5" t="s">
        <v>7</v>
      </c>
      <c r="T6" s="7"/>
      <c r="U6" s="8">
        <v>45474</v>
      </c>
      <c r="V6" s="4"/>
      <c r="W6" s="4"/>
      <c r="X6" s="9">
        <v>29.31</v>
      </c>
      <c r="Y6" s="10">
        <f t="shared" si="1"/>
        <v>23046.159899999999</v>
      </c>
      <c r="Z6" s="11">
        <f t="shared" si="3"/>
        <v>4.6375092864036557E-2</v>
      </c>
      <c r="AA6" s="11">
        <f t="shared" si="4"/>
        <v>5.4584918022253315E-3</v>
      </c>
    </row>
    <row r="7" spans="1:27" x14ac:dyDescent="0.35">
      <c r="A7" s="4" t="s">
        <v>12</v>
      </c>
      <c r="B7" s="4" t="s">
        <v>11</v>
      </c>
      <c r="C7" s="7">
        <v>255.42699999999999</v>
      </c>
      <c r="D7" s="5" t="s">
        <v>7</v>
      </c>
      <c r="E7" s="7"/>
      <c r="F7" s="8">
        <v>45505</v>
      </c>
      <c r="G7" s="5"/>
      <c r="H7" s="6"/>
      <c r="I7" s="9">
        <v>249.52</v>
      </c>
      <c r="J7" s="10">
        <f t="shared" si="0"/>
        <v>63734.145040000003</v>
      </c>
      <c r="K7" s="11">
        <f t="shared" ref="K7:L24" si="5">XIRR(_xlfn.VSTACK($J$2:$J$2,J7:J7),_xlfn.VSTACK($F$2:$F$2,F7:F7))</f>
        <v>7.1908727288246155E-2</v>
      </c>
      <c r="L7" s="11">
        <f t="shared" si="2"/>
        <v>2.8948453608247462E-2</v>
      </c>
      <c r="P7" s="4" t="s">
        <v>17</v>
      </c>
      <c r="Q7" s="4" t="s">
        <v>16</v>
      </c>
      <c r="R7" s="7">
        <v>786.29</v>
      </c>
      <c r="S7" s="5" t="s">
        <v>7</v>
      </c>
      <c r="T7" s="7"/>
      <c r="U7" s="8">
        <v>45505</v>
      </c>
      <c r="V7" s="4"/>
      <c r="W7" s="4"/>
      <c r="X7" s="9">
        <v>29.69</v>
      </c>
      <c r="Y7" s="10">
        <f t="shared" si="1"/>
        <v>23344.950099999998</v>
      </c>
      <c r="Z7" s="11">
        <f t="shared" si="3"/>
        <v>6.9625267386436471E-2</v>
      </c>
      <c r="AA7" s="11">
        <f t="shared" si="4"/>
        <v>1.0282275255354687E-2</v>
      </c>
    </row>
    <row r="8" spans="1:27" x14ac:dyDescent="0.35">
      <c r="A8" s="4" t="s">
        <v>12</v>
      </c>
      <c r="B8" s="4" t="s">
        <v>11</v>
      </c>
      <c r="C8" s="7">
        <v>255.42699999999999</v>
      </c>
      <c r="D8" s="5" t="s">
        <v>7</v>
      </c>
      <c r="E8" s="7"/>
      <c r="F8" s="8">
        <v>45536</v>
      </c>
      <c r="G8" s="5"/>
      <c r="H8" s="6"/>
      <c r="I8" s="9">
        <v>248.46</v>
      </c>
      <c r="J8" s="10">
        <f t="shared" si="0"/>
        <v>63463.392420000004</v>
      </c>
      <c r="K8" s="11">
        <f t="shared" si="5"/>
        <v>5.0181224942207336E-2</v>
      </c>
      <c r="L8" s="11">
        <f t="shared" si="2"/>
        <v>2.4577319587628918E-2</v>
      </c>
      <c r="P8" s="4" t="s">
        <v>17</v>
      </c>
      <c r="Q8" s="4" t="s">
        <v>16</v>
      </c>
      <c r="R8" s="7">
        <v>786.29</v>
      </c>
      <c r="S8" s="5" t="s">
        <v>7</v>
      </c>
      <c r="T8" s="7"/>
      <c r="U8" s="8">
        <v>45536</v>
      </c>
      <c r="V8" s="4"/>
      <c r="W8" s="4"/>
      <c r="X8" s="9">
        <v>29.24</v>
      </c>
      <c r="Y8" s="10">
        <f t="shared" si="1"/>
        <v>22991.119599999998</v>
      </c>
      <c r="Z8" s="11">
        <f t="shared" si="3"/>
        <v>2.5296637415885923E-2</v>
      </c>
      <c r="AA8" s="11">
        <f t="shared" si="4"/>
        <v>4.5699001134909658E-3</v>
      </c>
    </row>
    <row r="9" spans="1:27" x14ac:dyDescent="0.35">
      <c r="A9" s="4" t="s">
        <v>12</v>
      </c>
      <c r="B9" s="4" t="s">
        <v>11</v>
      </c>
      <c r="C9" s="7">
        <v>255.42699999999999</v>
      </c>
      <c r="D9" s="5" t="s">
        <v>7</v>
      </c>
      <c r="E9" s="7"/>
      <c r="F9" s="8">
        <v>45566</v>
      </c>
      <c r="G9" s="5"/>
      <c r="H9" s="6"/>
      <c r="I9" s="9">
        <v>272.20999999999998</v>
      </c>
      <c r="J9" s="10">
        <f t="shared" si="0"/>
        <v>69529.78366999999</v>
      </c>
      <c r="K9" s="11">
        <f t="shared" si="5"/>
        <v>0.22130911946296689</v>
      </c>
      <c r="L9" s="11">
        <f t="shared" si="2"/>
        <v>0.1225154639175256</v>
      </c>
      <c r="P9" s="4" t="s">
        <v>17</v>
      </c>
      <c r="Q9" s="4" t="s">
        <v>16</v>
      </c>
      <c r="R9" s="7">
        <v>786.29</v>
      </c>
      <c r="S9" s="5" t="s">
        <v>7</v>
      </c>
      <c r="T9" s="7"/>
      <c r="U9" s="8">
        <v>45566</v>
      </c>
      <c r="V9" s="4"/>
      <c r="W9" s="4"/>
      <c r="X9" s="9">
        <v>31.61</v>
      </c>
      <c r="Y9" s="10">
        <f t="shared" si="1"/>
        <v>24854.626899999999</v>
      </c>
      <c r="Z9" s="11">
        <f t="shared" si="3"/>
        <v>0.16911615729331972</v>
      </c>
      <c r="AA9" s="11">
        <f t="shared" si="4"/>
        <v>3.4655075860639914E-2</v>
      </c>
    </row>
    <row r="10" spans="1:27" x14ac:dyDescent="0.35">
      <c r="A10" s="4" t="s">
        <v>12</v>
      </c>
      <c r="B10" s="4" t="s">
        <v>11</v>
      </c>
      <c r="C10" s="7">
        <v>255.42699999999999</v>
      </c>
      <c r="D10" s="5" t="s">
        <v>7</v>
      </c>
      <c r="E10" s="7"/>
      <c r="F10" s="8">
        <v>45597</v>
      </c>
      <c r="G10" s="5"/>
      <c r="H10" s="6"/>
      <c r="I10" s="9">
        <v>241.28</v>
      </c>
      <c r="J10" s="10">
        <f t="shared" si="0"/>
        <v>61629.42656</v>
      </c>
      <c r="K10" s="11">
        <f t="shared" si="5"/>
        <v>-7.5782626867294317E-3</v>
      </c>
      <c r="L10" s="11">
        <f t="shared" si="2"/>
        <v>-5.0309278350515576E-3</v>
      </c>
      <c r="P10" s="4" t="s">
        <v>17</v>
      </c>
      <c r="Q10" s="4" t="s">
        <v>16</v>
      </c>
      <c r="R10" s="7">
        <v>786.29</v>
      </c>
      <c r="S10" s="5" t="s">
        <v>7</v>
      </c>
      <c r="T10" s="7"/>
      <c r="U10" s="8">
        <v>45597</v>
      </c>
      <c r="V10" s="4"/>
      <c r="W10" s="4"/>
      <c r="X10" s="9">
        <v>30.82</v>
      </c>
      <c r="Y10" s="10">
        <f t="shared" si="1"/>
        <v>24233.4578</v>
      </c>
      <c r="Z10" s="11">
        <f t="shared" si="3"/>
        <v>0.1030279576778412</v>
      </c>
      <c r="AA10" s="11">
        <f t="shared" si="4"/>
        <v>2.4626683944923618E-2</v>
      </c>
    </row>
    <row r="11" spans="1:27" x14ac:dyDescent="0.35">
      <c r="A11" s="4" t="s">
        <v>12</v>
      </c>
      <c r="B11" s="4" t="s">
        <v>11</v>
      </c>
      <c r="C11" s="7">
        <v>255.42699999999999</v>
      </c>
      <c r="D11" s="5" t="s">
        <v>7</v>
      </c>
      <c r="E11" s="7"/>
      <c r="F11" s="8">
        <v>45627</v>
      </c>
      <c r="G11" s="5"/>
      <c r="H11" s="6"/>
      <c r="I11" s="9">
        <v>238.88</v>
      </c>
      <c r="J11" s="10">
        <f t="shared" si="0"/>
        <v>61016.401760000001</v>
      </c>
      <c r="K11" s="11">
        <f t="shared" si="5"/>
        <v>-1.9980546832084663E-2</v>
      </c>
      <c r="L11" s="11">
        <f t="shared" si="2"/>
        <v>-1.4927835051546391E-2</v>
      </c>
      <c r="P11" s="4" t="s">
        <v>17</v>
      </c>
      <c r="Q11" s="4" t="s">
        <v>16</v>
      </c>
      <c r="R11" s="7">
        <v>786.29</v>
      </c>
      <c r="S11" s="5" t="s">
        <v>7</v>
      </c>
      <c r="T11" s="7"/>
      <c r="U11" s="8">
        <v>45627</v>
      </c>
      <c r="V11" s="4"/>
      <c r="W11" s="4"/>
      <c r="X11" s="9">
        <v>32.200000000000003</v>
      </c>
      <c r="Y11" s="10">
        <f t="shared" si="1"/>
        <v>25318.538</v>
      </c>
      <c r="Z11" s="11">
        <f t="shared" si="3"/>
        <v>0.15722280144691467</v>
      </c>
      <c r="AA11" s="11">
        <f t="shared" si="4"/>
        <v>4.2144634379972366E-2</v>
      </c>
    </row>
    <row r="12" spans="1:27" x14ac:dyDescent="0.35">
      <c r="A12" s="4" t="s">
        <v>12</v>
      </c>
      <c r="B12" s="4" t="s">
        <v>11</v>
      </c>
      <c r="C12" s="7">
        <v>255.42699999999999</v>
      </c>
      <c r="D12" s="5" t="s">
        <v>7</v>
      </c>
      <c r="E12" s="7"/>
      <c r="F12" s="8">
        <v>45658</v>
      </c>
      <c r="G12" s="5"/>
      <c r="H12" s="6"/>
      <c r="I12" s="9">
        <v>238.04</v>
      </c>
      <c r="J12" s="10">
        <f t="shared" si="0"/>
        <v>60801.843079999999</v>
      </c>
      <c r="K12" s="11">
        <f t="shared" si="5"/>
        <v>-2.2113189101219184E-2</v>
      </c>
      <c r="L12" s="11">
        <f t="shared" si="2"/>
        <v>-1.8391752577319617E-2</v>
      </c>
      <c r="P12" s="4" t="s">
        <v>17</v>
      </c>
      <c r="Q12" s="4" t="s">
        <v>16</v>
      </c>
      <c r="R12" s="7">
        <v>786.29</v>
      </c>
      <c r="S12" s="5" t="s">
        <v>7</v>
      </c>
      <c r="T12" s="7"/>
      <c r="U12" s="8">
        <v>45658</v>
      </c>
      <c r="V12" s="4"/>
      <c r="W12" s="4"/>
      <c r="X12" s="9">
        <v>31.04</v>
      </c>
      <c r="Y12" s="10">
        <f t="shared" si="1"/>
        <v>24406.441599999998</v>
      </c>
      <c r="Z12" s="11">
        <f t="shared" si="3"/>
        <v>9.0772452950477617E-2</v>
      </c>
      <c r="AA12" s="11">
        <f t="shared" si="4"/>
        <v>2.7419400680945852E-2</v>
      </c>
    </row>
    <row r="13" spans="1:27" x14ac:dyDescent="0.35">
      <c r="A13" s="4" t="s">
        <v>12</v>
      </c>
      <c r="B13" s="4" t="s">
        <v>11</v>
      </c>
      <c r="C13" s="7">
        <v>255.42699999999999</v>
      </c>
      <c r="D13" s="5" t="s">
        <v>7</v>
      </c>
      <c r="E13" s="7"/>
      <c r="F13" s="8">
        <v>45689</v>
      </c>
      <c r="G13" s="5"/>
      <c r="H13" s="6"/>
      <c r="I13" s="9">
        <v>266.74</v>
      </c>
      <c r="J13" s="10">
        <f t="shared" si="0"/>
        <v>68132.597980000006</v>
      </c>
      <c r="K13" s="11">
        <f t="shared" si="5"/>
        <v>0.10972847342491152</v>
      </c>
      <c r="L13" s="11">
        <f t="shared" si="2"/>
        <v>9.9958762886598024E-2</v>
      </c>
      <c r="P13" s="4" t="s">
        <v>17</v>
      </c>
      <c r="Q13" s="4" t="s">
        <v>16</v>
      </c>
      <c r="R13" s="7">
        <v>786.29</v>
      </c>
      <c r="S13" s="5" t="s">
        <v>7</v>
      </c>
      <c r="T13" s="7"/>
      <c r="U13" s="8">
        <v>45689</v>
      </c>
      <c r="V13" s="4"/>
      <c r="W13" s="4"/>
      <c r="X13" s="9">
        <v>31.74</v>
      </c>
      <c r="Y13" s="10">
        <f t="shared" si="1"/>
        <v>24956.844599999997</v>
      </c>
      <c r="Z13" s="11">
        <f t="shared" si="3"/>
        <v>0.10870504975318909</v>
      </c>
      <c r="AA13" s="11">
        <f t="shared" si="4"/>
        <v>3.6305317568289391E-2</v>
      </c>
    </row>
    <row r="14" spans="1:27" x14ac:dyDescent="0.35">
      <c r="A14" s="4" t="s">
        <v>12</v>
      </c>
      <c r="B14" s="4" t="s">
        <v>11</v>
      </c>
      <c r="C14" s="7">
        <v>255.42699999999999</v>
      </c>
      <c r="D14" s="5" t="s">
        <v>7</v>
      </c>
      <c r="E14" s="7"/>
      <c r="F14" s="8">
        <v>45717</v>
      </c>
      <c r="G14" s="5"/>
      <c r="H14" s="6"/>
      <c r="I14" s="9">
        <v>289.20999999999998</v>
      </c>
      <c r="J14" s="10">
        <f t="shared" si="0"/>
        <v>73872.042669999995</v>
      </c>
      <c r="K14" s="11">
        <f t="shared" si="5"/>
        <v>0.19436083436012269</v>
      </c>
      <c r="L14" s="11">
        <f t="shared" si="2"/>
        <v>0.19261855670103084</v>
      </c>
      <c r="P14" s="4" t="s">
        <v>17</v>
      </c>
      <c r="Q14" s="4" t="s">
        <v>16</v>
      </c>
      <c r="R14" s="7">
        <v>786.29</v>
      </c>
      <c r="S14" s="5" t="s">
        <v>7</v>
      </c>
      <c r="T14" s="7"/>
      <c r="U14" s="8">
        <v>45717</v>
      </c>
      <c r="V14" s="4"/>
      <c r="W14" s="4"/>
      <c r="X14" s="9">
        <v>31.45</v>
      </c>
      <c r="Y14" s="10">
        <f t="shared" si="1"/>
        <v>24728.820499999998</v>
      </c>
      <c r="Z14" s="11">
        <f t="shared" si="3"/>
        <v>8.9758548140525821E-2</v>
      </c>
      <c r="AA14" s="11">
        <f t="shared" si="4"/>
        <v>3.2624009143532792E-2</v>
      </c>
    </row>
    <row r="15" spans="1:27" x14ac:dyDescent="0.35">
      <c r="A15" s="4" t="s">
        <v>12</v>
      </c>
      <c r="B15" s="4" t="s">
        <v>11</v>
      </c>
      <c r="C15" s="7">
        <v>255.42699999999999</v>
      </c>
      <c r="D15" s="5" t="s">
        <v>7</v>
      </c>
      <c r="E15" s="7"/>
      <c r="F15" s="8">
        <v>45748</v>
      </c>
      <c r="G15" s="5"/>
      <c r="H15" s="6"/>
      <c r="I15" s="9">
        <v>300</v>
      </c>
      <c r="J15" s="10">
        <f t="shared" si="0"/>
        <v>76628.099999999991</v>
      </c>
      <c r="K15" s="11">
        <f t="shared" si="5"/>
        <v>0.2185002624988556</v>
      </c>
      <c r="L15" s="11">
        <f t="shared" si="2"/>
        <v>0.23711340206185552</v>
      </c>
      <c r="P15" s="4" t="s">
        <v>17</v>
      </c>
      <c r="Q15" s="4" t="s">
        <v>16</v>
      </c>
      <c r="R15" s="7">
        <v>786.29</v>
      </c>
      <c r="S15" s="5" t="s">
        <v>7</v>
      </c>
      <c r="T15" s="7"/>
      <c r="U15" s="8">
        <v>45748</v>
      </c>
      <c r="V15" s="4"/>
      <c r="W15" s="4"/>
      <c r="X15" s="9">
        <v>29.71</v>
      </c>
      <c r="Y15" s="10">
        <f t="shared" si="1"/>
        <v>23360.675899999998</v>
      </c>
      <c r="Z15" s="11">
        <f t="shared" si="3"/>
        <v>2.6664957404136665E-2</v>
      </c>
      <c r="AA15" s="11">
        <f t="shared" si="4"/>
        <v>1.0536158594993078E-2</v>
      </c>
    </row>
    <row r="16" spans="1:27" x14ac:dyDescent="0.35">
      <c r="A16" s="4" t="s">
        <v>12</v>
      </c>
      <c r="B16" s="4" t="s">
        <v>11</v>
      </c>
      <c r="C16" s="7">
        <v>255.42699999999999</v>
      </c>
      <c r="D16" s="5" t="s">
        <v>7</v>
      </c>
      <c r="E16" s="7"/>
      <c r="F16" s="8">
        <v>45778</v>
      </c>
      <c r="G16" s="5"/>
      <c r="H16" s="6"/>
      <c r="I16" s="9">
        <v>314.3</v>
      </c>
      <c r="J16" s="10">
        <f t="shared" si="0"/>
        <v>80280.706099999996</v>
      </c>
      <c r="K16" s="11">
        <f t="shared" si="5"/>
        <v>0.25080301165580754</v>
      </c>
      <c r="L16" s="11">
        <f t="shared" si="2"/>
        <v>0.29608247422680406</v>
      </c>
      <c r="P16" s="4" t="s">
        <v>17</v>
      </c>
      <c r="Q16" s="4" t="s">
        <v>16</v>
      </c>
      <c r="R16" s="7">
        <v>786.29</v>
      </c>
      <c r="S16" s="5" t="s">
        <v>7</v>
      </c>
      <c r="T16" s="7"/>
      <c r="U16" s="8">
        <v>45778</v>
      </c>
      <c r="V16" s="4"/>
      <c r="W16" s="4"/>
      <c r="X16" s="9">
        <v>28.53</v>
      </c>
      <c r="Y16" s="10">
        <f t="shared" si="1"/>
        <v>22432.8537</v>
      </c>
      <c r="Z16" s="11">
        <f t="shared" si="3"/>
        <v>-1.0466119647026064E-2</v>
      </c>
      <c r="AA16" s="11">
        <f t="shared" si="4"/>
        <v>-4.4429584436717707E-3</v>
      </c>
    </row>
    <row r="17" spans="1:27" x14ac:dyDescent="0.35">
      <c r="A17" s="4" t="s">
        <v>12</v>
      </c>
      <c r="B17" s="4" t="s">
        <v>11</v>
      </c>
      <c r="C17" s="7">
        <v>255.42699999999999</v>
      </c>
      <c r="D17" s="5" t="s">
        <v>7</v>
      </c>
      <c r="E17" s="7"/>
      <c r="F17" s="8">
        <v>45809</v>
      </c>
      <c r="G17" s="5"/>
      <c r="H17" s="6"/>
      <c r="I17" s="9">
        <v>317.3</v>
      </c>
      <c r="J17" s="10">
        <f t="shared" si="0"/>
        <v>81046.987099999998</v>
      </c>
      <c r="K17" s="11">
        <f t="shared" si="5"/>
        <v>0.24127950072288512</v>
      </c>
      <c r="L17" s="11">
        <f t="shared" si="2"/>
        <v>0.30845360824742263</v>
      </c>
      <c r="P17" s="4" t="s">
        <v>17</v>
      </c>
      <c r="Q17" s="4" t="s">
        <v>16</v>
      </c>
      <c r="R17" s="7">
        <v>786.29</v>
      </c>
      <c r="S17" s="5" t="s">
        <v>7</v>
      </c>
      <c r="T17" s="7"/>
      <c r="U17" s="8">
        <v>45809</v>
      </c>
      <c r="V17" s="4"/>
      <c r="W17" s="4"/>
      <c r="X17" s="9">
        <v>30.01</v>
      </c>
      <c r="Y17" s="10">
        <f t="shared" si="1"/>
        <v>23596.562900000001</v>
      </c>
      <c r="Z17" s="11">
        <f t="shared" si="3"/>
        <v>3.1338271498680112E-2</v>
      </c>
      <c r="AA17" s="11">
        <f t="shared" si="4"/>
        <v>1.4344408689568931E-2</v>
      </c>
    </row>
    <row r="18" spans="1:27" x14ac:dyDescent="0.35">
      <c r="A18" s="4" t="s">
        <v>12</v>
      </c>
      <c r="B18" s="4" t="s">
        <v>11</v>
      </c>
      <c r="C18" s="7">
        <v>255.42699999999999</v>
      </c>
      <c r="D18" s="5" t="s">
        <v>7</v>
      </c>
      <c r="E18" s="7"/>
      <c r="F18" s="8">
        <v>45839</v>
      </c>
      <c r="G18" s="5"/>
      <c r="H18" s="6"/>
      <c r="I18" s="9">
        <v>322.19</v>
      </c>
      <c r="J18" s="10">
        <f t="shared" si="0"/>
        <v>82296.025129999995</v>
      </c>
      <c r="K18" s="11">
        <f t="shared" si="5"/>
        <v>0.23896818757057189</v>
      </c>
      <c r="L18" s="11">
        <f t="shared" si="2"/>
        <v>0.32861855670103085</v>
      </c>
      <c r="P18" s="4" t="s">
        <v>17</v>
      </c>
      <c r="Q18" s="4" t="s">
        <v>16</v>
      </c>
      <c r="R18" s="7">
        <v>786.29</v>
      </c>
      <c r="S18" s="5" t="s">
        <v>7</v>
      </c>
      <c r="T18" s="7"/>
      <c r="U18" s="8">
        <v>45839</v>
      </c>
      <c r="V18" s="4"/>
      <c r="W18" s="4"/>
      <c r="X18" s="9">
        <v>29.99</v>
      </c>
      <c r="Y18" s="10">
        <f t="shared" si="1"/>
        <v>23580.837099999997</v>
      </c>
      <c r="Z18" s="11">
        <f t="shared" si="3"/>
        <v>2.8850188851356512E-2</v>
      </c>
      <c r="AA18" s="11">
        <f t="shared" si="4"/>
        <v>1.4090525349930482E-2</v>
      </c>
    </row>
    <row r="19" spans="1:27" x14ac:dyDescent="0.35">
      <c r="A19" s="4" t="s">
        <v>12</v>
      </c>
      <c r="B19" s="4" t="s">
        <v>11</v>
      </c>
      <c r="C19" s="7">
        <v>255.42699999999999</v>
      </c>
      <c r="D19" s="5" t="s">
        <v>7</v>
      </c>
      <c r="E19" s="7"/>
      <c r="F19" s="8">
        <v>45870</v>
      </c>
      <c r="G19" s="5"/>
      <c r="H19" s="6"/>
      <c r="I19" s="9">
        <v>317.3</v>
      </c>
      <c r="J19" s="10">
        <f t="shared" si="0"/>
        <v>81046.987099999998</v>
      </c>
      <c r="K19" s="11">
        <f t="shared" si="5"/>
        <v>0.20990437865257267</v>
      </c>
      <c r="L19" s="11">
        <f t="shared" si="2"/>
        <v>0.30845360824742263</v>
      </c>
      <c r="P19" s="4" t="s">
        <v>17</v>
      </c>
      <c r="Q19" s="4" t="s">
        <v>16</v>
      </c>
      <c r="R19" s="7">
        <v>786.29</v>
      </c>
      <c r="S19" s="5" t="s">
        <v>7</v>
      </c>
      <c r="T19" s="7"/>
      <c r="U19" s="8">
        <v>45870</v>
      </c>
      <c r="V19" s="4"/>
      <c r="W19" s="4"/>
      <c r="X19" s="9">
        <v>31.68</v>
      </c>
      <c r="Y19" s="10">
        <f t="shared" si="1"/>
        <v>24909.6672</v>
      </c>
      <c r="Z19" s="11">
        <f t="shared" si="3"/>
        <v>6.7782369256019603E-2</v>
      </c>
      <c r="AA19" s="11">
        <f t="shared" si="4"/>
        <v>3.5543667549374283E-2</v>
      </c>
    </row>
    <row r="20" spans="1:27" x14ac:dyDescent="0.35">
      <c r="A20" s="4" t="s">
        <v>12</v>
      </c>
      <c r="B20" s="4" t="s">
        <v>11</v>
      </c>
      <c r="C20" s="7">
        <v>255.42699999999999</v>
      </c>
      <c r="D20" s="5" t="s">
        <v>7</v>
      </c>
      <c r="E20" s="7"/>
      <c r="F20" s="8">
        <v>45901</v>
      </c>
      <c r="G20" s="5"/>
      <c r="H20" s="6"/>
      <c r="I20" s="9">
        <v>339.79</v>
      </c>
      <c r="J20" s="10">
        <f t="shared" si="0"/>
        <v>86791.540330000003</v>
      </c>
      <c r="K20" s="11">
        <f t="shared" si="5"/>
        <v>0.25295136570930477</v>
      </c>
      <c r="L20" s="11">
        <f t="shared" si="2"/>
        <v>0.40119587628865983</v>
      </c>
      <c r="P20" s="4" t="s">
        <v>17</v>
      </c>
      <c r="Q20" s="4" t="s">
        <v>16</v>
      </c>
      <c r="R20" s="7">
        <v>786.29</v>
      </c>
      <c r="S20" s="5" t="s">
        <v>7</v>
      </c>
      <c r="T20" s="7"/>
      <c r="U20" s="8">
        <v>45901</v>
      </c>
      <c r="V20" s="4"/>
      <c r="W20" s="4"/>
      <c r="X20" s="9">
        <v>32.18</v>
      </c>
      <c r="Y20" s="10">
        <f t="shared" si="1"/>
        <v>25302.8122</v>
      </c>
      <c r="Z20" s="11">
        <f t="shared" si="3"/>
        <v>7.500865757465365E-2</v>
      </c>
      <c r="AA20" s="11">
        <f t="shared" si="4"/>
        <v>4.1890751040333976E-2</v>
      </c>
    </row>
    <row r="21" spans="1:27" x14ac:dyDescent="0.35">
      <c r="A21" s="4" t="s">
        <v>12</v>
      </c>
      <c r="B21" s="4" t="s">
        <v>11</v>
      </c>
      <c r="C21" s="7">
        <v>255.42699999999999</v>
      </c>
      <c r="D21" s="5" t="s">
        <v>7</v>
      </c>
      <c r="E21" s="7"/>
      <c r="F21" s="8">
        <v>45931</v>
      </c>
      <c r="G21" s="5"/>
      <c r="H21" s="6"/>
      <c r="I21" s="9">
        <v>343.46</v>
      </c>
      <c r="J21" s="10">
        <f t="shared" si="0"/>
        <v>87728.957419999992</v>
      </c>
      <c r="K21" s="11">
        <f t="shared" si="5"/>
        <v>0.24678036570549011</v>
      </c>
      <c r="L21" s="11">
        <f t="shared" si="2"/>
        <v>0.41632989690721633</v>
      </c>
      <c r="P21" s="4" t="s">
        <v>17</v>
      </c>
      <c r="Q21" s="4" t="s">
        <v>16</v>
      </c>
      <c r="R21" s="7">
        <v>786.29</v>
      </c>
      <c r="S21" s="5" t="s">
        <v>7</v>
      </c>
      <c r="T21" s="7"/>
      <c r="U21" s="8">
        <v>45931</v>
      </c>
      <c r="V21" s="4"/>
      <c r="W21" s="4"/>
      <c r="X21" s="9">
        <v>33.630000000000003</v>
      </c>
      <c r="Y21" s="10">
        <f t="shared" si="1"/>
        <v>26442.932700000001</v>
      </c>
      <c r="Z21" s="11">
        <f t="shared" si="3"/>
        <v>0.1012986123561859</v>
      </c>
      <c r="AA21" s="11">
        <f t="shared" si="4"/>
        <v>6.0297293164117097E-2</v>
      </c>
    </row>
    <row r="22" spans="1:27" x14ac:dyDescent="0.35">
      <c r="A22" s="4" t="s">
        <v>12</v>
      </c>
      <c r="B22" s="4" t="s">
        <v>11</v>
      </c>
      <c r="C22" s="7">
        <v>255.42699999999999</v>
      </c>
      <c r="D22" s="5" t="s">
        <v>7</v>
      </c>
      <c r="E22" s="7"/>
      <c r="F22" s="8">
        <v>45962</v>
      </c>
      <c r="G22" s="5"/>
      <c r="H22" s="6"/>
      <c r="I22" s="9">
        <v>335.31</v>
      </c>
      <c r="J22" s="10">
        <f t="shared" si="0"/>
        <v>85647.227369999993</v>
      </c>
      <c r="K22" s="11">
        <f t="shared" si="5"/>
        <v>0.21514006257057192</v>
      </c>
      <c r="L22" s="11">
        <f t="shared" si="2"/>
        <v>0.38272164948453596</v>
      </c>
      <c r="P22" s="4" t="s">
        <v>17</v>
      </c>
      <c r="Q22" s="4" t="s">
        <v>16</v>
      </c>
      <c r="R22" s="7">
        <v>786.29</v>
      </c>
      <c r="S22" s="5" t="s">
        <v>7</v>
      </c>
      <c r="T22" s="7"/>
      <c r="U22" s="8">
        <v>45962</v>
      </c>
      <c r="V22" s="4"/>
      <c r="W22" s="4"/>
      <c r="X22" s="9">
        <v>33.44</v>
      </c>
      <c r="Y22" s="10">
        <f t="shared" si="1"/>
        <v>26293.537599999996</v>
      </c>
      <c r="Z22" s="11">
        <f t="shared" si="3"/>
        <v>9.2157724499702456E-2</v>
      </c>
      <c r="AA22" s="11">
        <f t="shared" si="4"/>
        <v>5.7885401437552331E-2</v>
      </c>
    </row>
    <row r="23" spans="1:27" x14ac:dyDescent="0.35">
      <c r="A23" s="4" t="s">
        <v>12</v>
      </c>
      <c r="B23" s="4" t="s">
        <v>11</v>
      </c>
      <c r="C23" s="7">
        <v>255.42699999999999</v>
      </c>
      <c r="D23" s="5" t="s">
        <v>7</v>
      </c>
      <c r="E23" s="7"/>
      <c r="F23" s="8">
        <v>45992</v>
      </c>
      <c r="G23" s="4"/>
      <c r="H23" s="4"/>
      <c r="I23" s="9">
        <v>350.59</v>
      </c>
      <c r="J23" s="10">
        <f t="shared" si="0"/>
        <v>89550.151929999993</v>
      </c>
      <c r="K23" s="11">
        <f t="shared" si="5"/>
        <v>0.23517941832542419</v>
      </c>
      <c r="L23" s="11">
        <f t="shared" si="2"/>
        <v>0.44573195876288646</v>
      </c>
      <c r="P23" s="4" t="s">
        <v>17</v>
      </c>
      <c r="Q23" s="4" t="s">
        <v>16</v>
      </c>
      <c r="R23" s="7">
        <v>786.29</v>
      </c>
      <c r="S23" s="5" t="s">
        <v>7</v>
      </c>
      <c r="T23" s="7"/>
      <c r="U23" s="8">
        <v>45992</v>
      </c>
      <c r="V23" s="4"/>
      <c r="W23" s="4"/>
      <c r="X23" s="9">
        <v>33.11</v>
      </c>
      <c r="Y23" s="10">
        <f t="shared" si="1"/>
        <v>26034.061899999997</v>
      </c>
      <c r="Z23" s="11">
        <f t="shared" si="3"/>
        <v>8.1469628214836123E-2</v>
      </c>
      <c r="AA23" s="11">
        <f t="shared" si="4"/>
        <v>5.3696326333518951E-2</v>
      </c>
    </row>
    <row r="24" spans="1:27" x14ac:dyDescent="0.35">
      <c r="A24" s="4" t="s">
        <v>12</v>
      </c>
      <c r="B24" s="4" t="s">
        <v>11</v>
      </c>
      <c r="C24" s="7">
        <v>255.42699999999999</v>
      </c>
      <c r="D24" s="5" t="s">
        <v>7</v>
      </c>
      <c r="E24" s="7"/>
      <c r="F24" s="8">
        <v>46023</v>
      </c>
      <c r="G24" s="5"/>
      <c r="H24" s="6"/>
      <c r="I24" s="9">
        <v>361.98</v>
      </c>
      <c r="J24" s="10">
        <f t="shared" si="0"/>
        <v>92459.465460000007</v>
      </c>
      <c r="K24" s="11">
        <f t="shared" si="5"/>
        <v>0.24468657374382013</v>
      </c>
      <c r="L24" s="11">
        <f t="shared" si="2"/>
        <v>0.49270103092783513</v>
      </c>
      <c r="P24" s="4" t="s">
        <v>17</v>
      </c>
      <c r="Q24" s="4" t="s">
        <v>16</v>
      </c>
      <c r="R24" s="7">
        <v>786.29</v>
      </c>
      <c r="S24" s="5" t="s">
        <v>7</v>
      </c>
      <c r="T24" s="7"/>
      <c r="U24" s="8">
        <v>46023</v>
      </c>
      <c r="V24" s="4"/>
      <c r="W24" s="4"/>
      <c r="X24" s="9">
        <v>32.229999999999997</v>
      </c>
      <c r="Y24" s="10">
        <f t="shared" si="1"/>
        <v>25342.126699999997</v>
      </c>
      <c r="Z24" s="11">
        <f t="shared" si="3"/>
        <v>6.18018299341202E-2</v>
      </c>
      <c r="AA24" s="11">
        <f t="shared" si="4"/>
        <v>4.2525459389429893E-2</v>
      </c>
    </row>
    <row r="28" spans="1:27" x14ac:dyDescent="0.35">
      <c r="A28" s="1" t="s">
        <v>0</v>
      </c>
      <c r="B28" s="1" t="s">
        <v>1</v>
      </c>
      <c r="C28" s="1" t="s">
        <v>2</v>
      </c>
      <c r="D28" s="1" t="s">
        <v>3</v>
      </c>
      <c r="E28" s="2" t="s">
        <v>4</v>
      </c>
      <c r="F28" s="3" t="s">
        <v>5</v>
      </c>
      <c r="G28" s="3" t="s">
        <v>6</v>
      </c>
      <c r="H28" s="3" t="s">
        <v>9</v>
      </c>
      <c r="I28" s="3" t="s">
        <v>8</v>
      </c>
      <c r="J28" s="3" t="s">
        <v>14</v>
      </c>
      <c r="K28" s="3" t="s">
        <v>13</v>
      </c>
      <c r="L28" s="3" t="s">
        <v>15</v>
      </c>
    </row>
    <row r="29" spans="1:27" x14ac:dyDescent="0.35">
      <c r="A29" s="4" t="s">
        <v>17</v>
      </c>
      <c r="B29" s="4" t="s">
        <v>16</v>
      </c>
      <c r="C29" s="7">
        <v>786.29</v>
      </c>
      <c r="D29" s="5" t="s">
        <v>7</v>
      </c>
      <c r="E29" s="9">
        <v>28.88</v>
      </c>
      <c r="F29" s="8">
        <v>45355</v>
      </c>
      <c r="G29" s="5" t="s">
        <v>10</v>
      </c>
      <c r="H29" s="9">
        <v>28.88</v>
      </c>
      <c r="I29" s="9">
        <v>28.88</v>
      </c>
      <c r="J29" s="10">
        <f>-I29*C29</f>
        <v>-22708.055199999999</v>
      </c>
      <c r="K29" s="11"/>
      <c r="L29" s="11"/>
    </row>
    <row r="30" spans="1:27" x14ac:dyDescent="0.35">
      <c r="A30" s="4" t="s">
        <v>17</v>
      </c>
      <c r="B30" s="4" t="s">
        <v>16</v>
      </c>
      <c r="C30" s="7">
        <v>786.29</v>
      </c>
      <c r="D30" s="5" t="s">
        <v>7</v>
      </c>
      <c r="E30" s="7"/>
      <c r="F30" s="8">
        <v>45383</v>
      </c>
      <c r="G30" s="4"/>
      <c r="H30" s="4"/>
      <c r="I30" s="9">
        <v>30.01</v>
      </c>
      <c r="J30" s="10">
        <f t="shared" ref="J30:J51" si="6">+I30*C30</f>
        <v>23596.562900000001</v>
      </c>
      <c r="K30" s="11">
        <f>XIRR(_xlfn.VSTACK($J$29,J30:J30),_xlfn.VSTACK($F$29,F30:F30))</f>
        <v>0.64926255345344552</v>
      </c>
      <c r="L30" s="11">
        <f>(J30+$J$29)/ABS($J$2)</f>
        <v>1.4344408689568931E-2</v>
      </c>
    </row>
    <row r="31" spans="1:27" x14ac:dyDescent="0.35">
      <c r="A31" s="4" t="s">
        <v>17</v>
      </c>
      <c r="B31" s="4" t="s">
        <v>16</v>
      </c>
      <c r="C31" s="7">
        <v>786.29</v>
      </c>
      <c r="D31" s="5" t="s">
        <v>7</v>
      </c>
      <c r="E31" s="7"/>
      <c r="F31" s="8">
        <v>45413</v>
      </c>
      <c r="G31" s="4"/>
      <c r="H31" s="4"/>
      <c r="I31" s="9">
        <v>29.79</v>
      </c>
      <c r="J31" s="10">
        <f t="shared" si="6"/>
        <v>23423.579099999999</v>
      </c>
      <c r="K31" s="11">
        <f t="shared" ref="K31:K51" si="7">XIRR(_xlfn.VSTACK($J$29,J31:J31),_xlfn.VSTACK($F$29,F31:F31))</f>
        <v>0.21559515595436096</v>
      </c>
      <c r="L31" s="11">
        <f t="shared" ref="L31:L51" si="8">(J31+$J$29)/ABS($J$2)</f>
        <v>1.1551691953546639E-2</v>
      </c>
    </row>
    <row r="32" spans="1:27" x14ac:dyDescent="0.35">
      <c r="A32" s="4" t="s">
        <v>17</v>
      </c>
      <c r="B32" s="4" t="s">
        <v>16</v>
      </c>
      <c r="C32" s="7">
        <v>786.29</v>
      </c>
      <c r="D32" s="5" t="s">
        <v>7</v>
      </c>
      <c r="E32" s="7"/>
      <c r="F32" s="8">
        <v>45444</v>
      </c>
      <c r="G32" s="4"/>
      <c r="H32" s="4"/>
      <c r="I32" s="9">
        <v>28.84</v>
      </c>
      <c r="J32" s="10">
        <f t="shared" si="6"/>
        <v>22676.603599999999</v>
      </c>
      <c r="K32" s="11">
        <f t="shared" si="7"/>
        <v>-5.6680411100387572E-3</v>
      </c>
      <c r="L32" s="11">
        <f t="shared" si="8"/>
        <v>-5.0776667927678054E-4</v>
      </c>
    </row>
    <row r="33" spans="1:12" x14ac:dyDescent="0.35">
      <c r="A33" s="4" t="s">
        <v>17</v>
      </c>
      <c r="B33" s="4" t="s">
        <v>16</v>
      </c>
      <c r="C33" s="7">
        <v>786.29</v>
      </c>
      <c r="D33" s="5" t="s">
        <v>7</v>
      </c>
      <c r="E33" s="7"/>
      <c r="F33" s="8">
        <v>45474</v>
      </c>
      <c r="G33" s="4"/>
      <c r="H33" s="4"/>
      <c r="I33" s="9">
        <v>29.31</v>
      </c>
      <c r="J33" s="10">
        <f t="shared" si="6"/>
        <v>23046.159899999999</v>
      </c>
      <c r="K33" s="11">
        <f t="shared" si="7"/>
        <v>4.6375092864036557E-2</v>
      </c>
      <c r="L33" s="11">
        <f t="shared" si="8"/>
        <v>5.4584918022253315E-3</v>
      </c>
    </row>
    <row r="34" spans="1:12" x14ac:dyDescent="0.35">
      <c r="A34" s="4" t="s">
        <v>17</v>
      </c>
      <c r="B34" s="4" t="s">
        <v>16</v>
      </c>
      <c r="C34" s="7">
        <v>786.29</v>
      </c>
      <c r="D34" s="5" t="s">
        <v>7</v>
      </c>
      <c r="E34" s="7"/>
      <c r="F34" s="8">
        <v>45505</v>
      </c>
      <c r="G34" s="4"/>
      <c r="H34" s="4"/>
      <c r="I34" s="9">
        <v>29.69</v>
      </c>
      <c r="J34" s="10">
        <f t="shared" si="6"/>
        <v>23344.950099999998</v>
      </c>
      <c r="K34" s="11">
        <f t="shared" si="7"/>
        <v>6.9625267386436471E-2</v>
      </c>
      <c r="L34" s="11">
        <f t="shared" si="8"/>
        <v>1.0282275255354687E-2</v>
      </c>
    </row>
    <row r="35" spans="1:12" x14ac:dyDescent="0.35">
      <c r="A35" s="4" t="s">
        <v>17</v>
      </c>
      <c r="B35" s="4" t="s">
        <v>16</v>
      </c>
      <c r="C35" s="7">
        <v>786.29</v>
      </c>
      <c r="D35" s="5" t="s">
        <v>7</v>
      </c>
      <c r="E35" s="7"/>
      <c r="F35" s="8">
        <v>45536</v>
      </c>
      <c r="G35" s="4"/>
      <c r="H35" s="4"/>
      <c r="I35" s="9">
        <v>29.24</v>
      </c>
      <c r="J35" s="10">
        <f t="shared" si="6"/>
        <v>22991.119599999998</v>
      </c>
      <c r="K35" s="11">
        <f t="shared" si="7"/>
        <v>2.5296637415885923E-2</v>
      </c>
      <c r="L35" s="11">
        <f t="shared" si="8"/>
        <v>4.5699001134909658E-3</v>
      </c>
    </row>
    <row r="36" spans="1:12" x14ac:dyDescent="0.35">
      <c r="A36" s="4" t="s">
        <v>17</v>
      </c>
      <c r="B36" s="4" t="s">
        <v>16</v>
      </c>
      <c r="C36" s="7">
        <v>786.29</v>
      </c>
      <c r="D36" s="5" t="s">
        <v>7</v>
      </c>
      <c r="E36" s="7"/>
      <c r="F36" s="8">
        <v>45566</v>
      </c>
      <c r="G36" s="4"/>
      <c r="H36" s="4"/>
      <c r="I36" s="9">
        <v>31.61</v>
      </c>
      <c r="J36" s="10">
        <f t="shared" si="6"/>
        <v>24854.626899999999</v>
      </c>
      <c r="K36" s="11">
        <f t="shared" si="7"/>
        <v>0.16911615729331972</v>
      </c>
      <c r="L36" s="11">
        <f t="shared" si="8"/>
        <v>3.4655075860639914E-2</v>
      </c>
    </row>
    <row r="37" spans="1:12" x14ac:dyDescent="0.35">
      <c r="A37" s="4" t="s">
        <v>17</v>
      </c>
      <c r="B37" s="4" t="s">
        <v>16</v>
      </c>
      <c r="C37" s="7">
        <v>786.29</v>
      </c>
      <c r="D37" s="5" t="s">
        <v>7</v>
      </c>
      <c r="E37" s="7"/>
      <c r="F37" s="8">
        <v>45597</v>
      </c>
      <c r="G37" s="4"/>
      <c r="H37" s="4"/>
      <c r="I37" s="9">
        <v>30.82</v>
      </c>
      <c r="J37" s="10">
        <f t="shared" si="6"/>
        <v>24233.4578</v>
      </c>
      <c r="K37" s="11">
        <f t="shared" si="7"/>
        <v>0.1030279576778412</v>
      </c>
      <c r="L37" s="11">
        <f t="shared" si="8"/>
        <v>2.4626683944923618E-2</v>
      </c>
    </row>
    <row r="38" spans="1:12" x14ac:dyDescent="0.35">
      <c r="A38" s="4" t="s">
        <v>17</v>
      </c>
      <c r="B38" s="4" t="s">
        <v>16</v>
      </c>
      <c r="C38" s="7">
        <v>786.29</v>
      </c>
      <c r="D38" s="5" t="s">
        <v>7</v>
      </c>
      <c r="E38" s="7"/>
      <c r="F38" s="8">
        <v>45627</v>
      </c>
      <c r="G38" s="4"/>
      <c r="H38" s="4"/>
      <c r="I38" s="9">
        <v>32.200000000000003</v>
      </c>
      <c r="J38" s="10">
        <f t="shared" si="6"/>
        <v>25318.538</v>
      </c>
      <c r="K38" s="11">
        <f t="shared" si="7"/>
        <v>0.15722280144691467</v>
      </c>
      <c r="L38" s="11">
        <f t="shared" si="8"/>
        <v>4.2144634379972366E-2</v>
      </c>
    </row>
    <row r="39" spans="1:12" x14ac:dyDescent="0.35">
      <c r="A39" s="4" t="s">
        <v>17</v>
      </c>
      <c r="B39" s="4" t="s">
        <v>16</v>
      </c>
      <c r="C39" s="7">
        <v>786.29</v>
      </c>
      <c r="D39" s="5" t="s">
        <v>7</v>
      </c>
      <c r="E39" s="7"/>
      <c r="F39" s="8">
        <v>45658</v>
      </c>
      <c r="G39" s="4"/>
      <c r="H39" s="4"/>
      <c r="I39" s="9">
        <v>31.04</v>
      </c>
      <c r="J39" s="10">
        <f t="shared" si="6"/>
        <v>24406.441599999998</v>
      </c>
      <c r="K39" s="11">
        <f t="shared" si="7"/>
        <v>9.0772452950477617E-2</v>
      </c>
      <c r="L39" s="11">
        <f t="shared" si="8"/>
        <v>2.7419400680945852E-2</v>
      </c>
    </row>
    <row r="40" spans="1:12" x14ac:dyDescent="0.35">
      <c r="A40" s="4" t="s">
        <v>17</v>
      </c>
      <c r="B40" s="4" t="s">
        <v>16</v>
      </c>
      <c r="C40" s="7">
        <v>786.29</v>
      </c>
      <c r="D40" s="5" t="s">
        <v>7</v>
      </c>
      <c r="E40" s="7"/>
      <c r="F40" s="8">
        <v>45689</v>
      </c>
      <c r="G40" s="4"/>
      <c r="H40" s="4"/>
      <c r="I40" s="9">
        <v>31.74</v>
      </c>
      <c r="J40" s="10">
        <f t="shared" si="6"/>
        <v>24956.844599999997</v>
      </c>
      <c r="K40" s="11">
        <f t="shared" si="7"/>
        <v>0.10870504975318909</v>
      </c>
      <c r="L40" s="11">
        <f t="shared" si="8"/>
        <v>3.6305317568289391E-2</v>
      </c>
    </row>
    <row r="41" spans="1:12" x14ac:dyDescent="0.35">
      <c r="A41" s="4" t="s">
        <v>17</v>
      </c>
      <c r="B41" s="4" t="s">
        <v>16</v>
      </c>
      <c r="C41" s="7">
        <v>786.29</v>
      </c>
      <c r="D41" s="5" t="s">
        <v>7</v>
      </c>
      <c r="E41" s="7"/>
      <c r="F41" s="8">
        <v>45717</v>
      </c>
      <c r="G41" s="4"/>
      <c r="H41" s="4"/>
      <c r="I41" s="9">
        <v>31.45</v>
      </c>
      <c r="J41" s="10">
        <f t="shared" si="6"/>
        <v>24728.820499999998</v>
      </c>
      <c r="K41" s="11">
        <f t="shared" si="7"/>
        <v>8.9758548140525821E-2</v>
      </c>
      <c r="L41" s="11">
        <f t="shared" si="8"/>
        <v>3.2624009143532792E-2</v>
      </c>
    </row>
    <row r="42" spans="1:12" x14ac:dyDescent="0.35">
      <c r="A42" s="4" t="s">
        <v>17</v>
      </c>
      <c r="B42" s="4" t="s">
        <v>16</v>
      </c>
      <c r="C42" s="7">
        <v>786.29</v>
      </c>
      <c r="D42" s="5" t="s">
        <v>7</v>
      </c>
      <c r="E42" s="7"/>
      <c r="F42" s="8">
        <v>45748</v>
      </c>
      <c r="G42" s="4"/>
      <c r="H42" s="4"/>
      <c r="I42" s="9">
        <v>29.71</v>
      </c>
      <c r="J42" s="10">
        <f t="shared" si="6"/>
        <v>23360.675899999998</v>
      </c>
      <c r="K42" s="11">
        <f t="shared" si="7"/>
        <v>2.6664957404136665E-2</v>
      </c>
      <c r="L42" s="11">
        <f t="shared" si="8"/>
        <v>1.0536158594993078E-2</v>
      </c>
    </row>
    <row r="43" spans="1:12" x14ac:dyDescent="0.35">
      <c r="A43" s="4" t="s">
        <v>17</v>
      </c>
      <c r="B43" s="4" t="s">
        <v>16</v>
      </c>
      <c r="C43" s="7">
        <v>786.29</v>
      </c>
      <c r="D43" s="5" t="s">
        <v>7</v>
      </c>
      <c r="E43" s="7"/>
      <c r="F43" s="8">
        <v>45778</v>
      </c>
      <c r="G43" s="4"/>
      <c r="H43" s="4"/>
      <c r="I43" s="9">
        <v>28.53</v>
      </c>
      <c r="J43" s="10">
        <f t="shared" si="6"/>
        <v>22432.8537</v>
      </c>
      <c r="K43" s="11">
        <f t="shared" si="7"/>
        <v>-1.0466119647026064E-2</v>
      </c>
      <c r="L43" s="11">
        <f t="shared" si="8"/>
        <v>-4.4429584436717707E-3</v>
      </c>
    </row>
    <row r="44" spans="1:12" x14ac:dyDescent="0.35">
      <c r="A44" s="4" t="s">
        <v>17</v>
      </c>
      <c r="B44" s="4" t="s">
        <v>16</v>
      </c>
      <c r="C44" s="7">
        <v>786.29</v>
      </c>
      <c r="D44" s="5" t="s">
        <v>7</v>
      </c>
      <c r="E44" s="7"/>
      <c r="F44" s="8">
        <v>45809</v>
      </c>
      <c r="G44" s="4"/>
      <c r="H44" s="4"/>
      <c r="I44" s="9">
        <v>30.01</v>
      </c>
      <c r="J44" s="10">
        <f t="shared" si="6"/>
        <v>23596.562900000001</v>
      </c>
      <c r="K44" s="11">
        <f t="shared" si="7"/>
        <v>3.1338271498680112E-2</v>
      </c>
      <c r="L44" s="11">
        <f t="shared" si="8"/>
        <v>1.4344408689568931E-2</v>
      </c>
    </row>
    <row r="45" spans="1:12" x14ac:dyDescent="0.35">
      <c r="A45" s="4" t="s">
        <v>17</v>
      </c>
      <c r="B45" s="4" t="s">
        <v>16</v>
      </c>
      <c r="C45" s="7">
        <v>786.29</v>
      </c>
      <c r="D45" s="5" t="s">
        <v>7</v>
      </c>
      <c r="E45" s="7"/>
      <c r="F45" s="8">
        <v>45839</v>
      </c>
      <c r="G45" s="4"/>
      <c r="H45" s="4"/>
      <c r="I45" s="9">
        <v>29.99</v>
      </c>
      <c r="J45" s="10">
        <f t="shared" si="6"/>
        <v>23580.837099999997</v>
      </c>
      <c r="K45" s="11">
        <f t="shared" si="7"/>
        <v>2.8850188851356512E-2</v>
      </c>
      <c r="L45" s="11">
        <f t="shared" si="8"/>
        <v>1.4090525349930482E-2</v>
      </c>
    </row>
    <row r="46" spans="1:12" x14ac:dyDescent="0.35">
      <c r="A46" s="4" t="s">
        <v>17</v>
      </c>
      <c r="B46" s="4" t="s">
        <v>16</v>
      </c>
      <c r="C46" s="7">
        <v>786.29</v>
      </c>
      <c r="D46" s="5" t="s">
        <v>7</v>
      </c>
      <c r="E46" s="7"/>
      <c r="F46" s="8">
        <v>45870</v>
      </c>
      <c r="G46" s="4"/>
      <c r="H46" s="4"/>
      <c r="I46" s="9">
        <v>31.68</v>
      </c>
      <c r="J46" s="10">
        <f t="shared" si="6"/>
        <v>24909.6672</v>
      </c>
      <c r="K46" s="11">
        <f t="shared" si="7"/>
        <v>6.7782369256019603E-2</v>
      </c>
      <c r="L46" s="11">
        <f t="shared" si="8"/>
        <v>3.5543667549374283E-2</v>
      </c>
    </row>
    <row r="47" spans="1:12" x14ac:dyDescent="0.35">
      <c r="A47" s="4" t="s">
        <v>17</v>
      </c>
      <c r="B47" s="4" t="s">
        <v>16</v>
      </c>
      <c r="C47" s="7">
        <v>786.29</v>
      </c>
      <c r="D47" s="5" t="s">
        <v>7</v>
      </c>
      <c r="E47" s="7"/>
      <c r="F47" s="8">
        <v>45901</v>
      </c>
      <c r="G47" s="4"/>
      <c r="H47" s="4"/>
      <c r="I47" s="9">
        <v>32.18</v>
      </c>
      <c r="J47" s="10">
        <f t="shared" si="6"/>
        <v>25302.8122</v>
      </c>
      <c r="K47" s="11">
        <f t="shared" si="7"/>
        <v>7.500865757465365E-2</v>
      </c>
      <c r="L47" s="11">
        <f t="shared" si="8"/>
        <v>4.1890751040333976E-2</v>
      </c>
    </row>
    <row r="48" spans="1:12" x14ac:dyDescent="0.35">
      <c r="A48" s="4" t="s">
        <v>17</v>
      </c>
      <c r="B48" s="4" t="s">
        <v>16</v>
      </c>
      <c r="C48" s="7">
        <v>786.29</v>
      </c>
      <c r="D48" s="5" t="s">
        <v>7</v>
      </c>
      <c r="E48" s="7"/>
      <c r="F48" s="8">
        <v>45931</v>
      </c>
      <c r="G48" s="4"/>
      <c r="H48" s="4"/>
      <c r="I48" s="9">
        <v>33.630000000000003</v>
      </c>
      <c r="J48" s="10">
        <f t="shared" si="6"/>
        <v>26442.932700000001</v>
      </c>
      <c r="K48" s="11">
        <f t="shared" si="7"/>
        <v>0.1012986123561859</v>
      </c>
      <c r="L48" s="11">
        <f t="shared" si="8"/>
        <v>6.0297293164117097E-2</v>
      </c>
    </row>
    <row r="49" spans="1:12" x14ac:dyDescent="0.35">
      <c r="A49" s="4" t="s">
        <v>17</v>
      </c>
      <c r="B49" s="4" t="s">
        <v>16</v>
      </c>
      <c r="C49" s="7">
        <v>786.29</v>
      </c>
      <c r="D49" s="5" t="s">
        <v>7</v>
      </c>
      <c r="E49" s="7"/>
      <c r="F49" s="8">
        <v>45962</v>
      </c>
      <c r="G49" s="4"/>
      <c r="H49" s="4"/>
      <c r="I49" s="9">
        <v>33.44</v>
      </c>
      <c r="J49" s="10">
        <f t="shared" si="6"/>
        <v>26293.537599999996</v>
      </c>
      <c r="K49" s="11">
        <f t="shared" si="7"/>
        <v>9.2157724499702456E-2</v>
      </c>
      <c r="L49" s="11">
        <f t="shared" si="8"/>
        <v>5.7885401437552331E-2</v>
      </c>
    </row>
    <row r="50" spans="1:12" x14ac:dyDescent="0.35">
      <c r="A50" s="4" t="s">
        <v>17</v>
      </c>
      <c r="B50" s="4" t="s">
        <v>16</v>
      </c>
      <c r="C50" s="7">
        <v>786.29</v>
      </c>
      <c r="D50" s="5" t="s">
        <v>7</v>
      </c>
      <c r="E50" s="7"/>
      <c r="F50" s="8">
        <v>45992</v>
      </c>
      <c r="G50" s="4"/>
      <c r="H50" s="4"/>
      <c r="I50" s="9">
        <v>33.11</v>
      </c>
      <c r="J50" s="10">
        <f t="shared" si="6"/>
        <v>26034.061899999997</v>
      </c>
      <c r="K50" s="11">
        <f t="shared" si="7"/>
        <v>8.1469628214836123E-2</v>
      </c>
      <c r="L50" s="11">
        <f t="shared" si="8"/>
        <v>5.3696326333518951E-2</v>
      </c>
    </row>
    <row r="51" spans="1:12" x14ac:dyDescent="0.35">
      <c r="A51" s="4" t="s">
        <v>17</v>
      </c>
      <c r="B51" s="4" t="s">
        <v>16</v>
      </c>
      <c r="C51" s="7">
        <v>786.29</v>
      </c>
      <c r="D51" s="5" t="s">
        <v>7</v>
      </c>
      <c r="E51" s="7"/>
      <c r="F51" s="8">
        <v>46023</v>
      </c>
      <c r="G51" s="4"/>
      <c r="H51" s="4"/>
      <c r="I51" s="9">
        <v>32.229999999999997</v>
      </c>
      <c r="J51" s="10">
        <f t="shared" si="6"/>
        <v>25342.126699999997</v>
      </c>
      <c r="K51" s="11">
        <f t="shared" si="7"/>
        <v>6.18018299341202E-2</v>
      </c>
      <c r="L51" s="11">
        <f t="shared" si="8"/>
        <v>4.2525459389429893E-2</v>
      </c>
    </row>
    <row r="52" spans="1:12" x14ac:dyDescent="0.35">
      <c r="F52" s="12"/>
    </row>
    <row r="53" spans="1:12" x14ac:dyDescent="0.35">
      <c r="F53" s="12"/>
    </row>
  </sheetData>
  <sortState xmlns:xlrd2="http://schemas.microsoft.com/office/spreadsheetml/2017/richdata2" ref="I30:J53">
    <sortCondition descending="1" ref="J30:J53"/>
  </sortState>
  <dataValidations count="1">
    <dataValidation type="list" allowBlank="1" showInputMessage="1" showErrorMessage="1" sqref="G2 G4:G24 G29 V2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2026-01-18T19:12:29Z</dcterms:modified>
</cp:coreProperties>
</file>