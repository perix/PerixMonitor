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Templates\"/>
    </mc:Choice>
  </mc:AlternateContent>
  <xr:revisionPtr revIDLastSave="0" documentId="13_ncr:1_{A02843E4-C7C3-42D7-99F9-CC6504020AD5}" xr6:coauthVersionLast="47" xr6:coauthVersionMax="47" xr10:uidLastSave="{00000000-0000-0000-0000-000000000000}"/>
  <bookViews>
    <workbookView xWindow="19110" yWindow="720" windowWidth="19380" windowHeight="2097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</calcChain>
</file>

<file path=xl/sharedStrings.xml><?xml version="1.0" encoding="utf-8"?>
<sst xmlns="http://schemas.openxmlformats.org/spreadsheetml/2006/main" count="20" uniqueCount="19">
  <si>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</si>
  <si>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</si>
  <si>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</si>
  <si>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</si>
  <si>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</si>
  <si>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</si>
  <si>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</si>
  <si>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Acquisto</t>
  </si>
  <si>
    <t>Controvalore (EUR)</t>
  </si>
  <si>
    <t>Tipologia</t>
  </si>
  <si>
    <t>Certificato</t>
  </si>
  <si>
    <t>Descrizione Asset</t>
  </si>
  <si>
    <t>Note</t>
  </si>
  <si>
    <t>ETF Azionario</t>
  </si>
  <si>
    <t>BPA CC E29</t>
  </si>
  <si>
    <t>VANECK OIL ETF EUR</t>
  </si>
  <si>
    <t>Vendita</t>
  </si>
  <si>
    <t>IE123456AB</t>
  </si>
  <si>
    <t>OU123456ES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</si>
</sst>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000%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2" fontId="2" fillId="0" borderId="1" xfId="0" applyNumberFormat="1" applyFont="1" applyBorder="1" applyAlignment="1">
      <alignment vertical="center"/>
    </xf>
    <xf numFmtId="4" fontId="0" fillId="0" borderId="1" xfId="0" applyNumberFormat="1" applyBorder="1"/>
    <xf numFmtId="4" fontId="0" fillId="0" borderId="3" xfId="0" applyNumberForma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8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3" totalsRowShown="0" headerRowDxfId="29" dataDxfId="28" tableBorderDxfId="27">
  <autoFilter ref="A1:J3" xr:uid="{04F4BF02-F5A0-427F-92C4-A60283CF04F1}"/>
  <sortState xmlns:xlrd2="http://schemas.microsoft.com/office/spreadsheetml/2017/richdata2" ref="A2:J3">
    <sortCondition ref="D1:D3"/>
  </sortState>
  <tableColumns count="10">
    <tableColumn id="2" xr3:uid="{C4CDF0AD-2602-44A7-AA26-292542A274A0}" name="ISIN" dataDxfId="26"/>
    <tableColumn id="1" xr3:uid="{B8061C36-8993-4203-ABD6-C7BF7558D40C}" name="Descrizione Asset" dataDxfId="25"/>
    <tableColumn id="3" xr3:uid="{0A18EC50-C250-41F4-83C1-E84B3FDD76A5}" name="Quantità" dataDxfId="24"/>
    <tableColumn id="6" xr3:uid="{1CC3BD49-EF04-4684-84DC-5AB42F08A1CD}" name="Data (acquisto/vendita)" dataDxfId="23"/>
    <tableColumn id="8" xr3:uid="{8C52C664-8EA8-4E89-892F-C9CCC6BB2E54}" name="Prezzo Operazione (EUR)" dataDxfId="22"/>
    <tableColumn id="11" xr3:uid="{8B0704F8-8C2E-42BE-A30C-03EF7C2730A1}" name="Tipologia" dataDxfId="21"/>
    <tableColumn id="7" xr3:uid="{0B72A75D-196B-42C0-9E49-163198DF8CDB}" name="Operazione" dataDxfId="20"/>
    <tableColumn id="4" xr3:uid="{F21CA34D-52E3-4C7A-A959-24C01F694687}" name="Divisa" dataDxfId="19"/>
    <tableColumn id="10" xr3:uid="{7F8241B6-2FCB-4564-8F24-4D4146A82E8B}" name="Controvalore (EUR)" dataDxfId="18">
      <calculatedColumnFormula>+Table1[[#This Row],[Quantità]]*Table1[[#This Row],[Prezzo Operazione (EUR)]]</calculatedColumnFormula>
    </tableColumn>
    <tableColumn id="5" xr3:uid="{4BB24666-6DBD-4CCB-B492-4786A2A04F01}" name="Note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L17"/>
  <sheetViews>
    <sheetView showGridLines="0" tabSelected="1" zoomScaleNormal="100" workbookViewId="0">
      <selection activeCell="E11" sqref="E11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6328125" bestFit="1" customWidth="1"/>
    <col min="4" max="4" width="25.7265625" customWidth="1"/>
    <col min="5" max="6" width="23" bestFit="1" customWidth="1"/>
    <col min="7" max="7" width="25.90625" bestFit="1" customWidth="1"/>
    <col min="8" max="8" width="10.54296875" bestFit="1" customWidth="1"/>
    <col min="9" max="9" width="21.26953125" bestFit="1" customWidth="1"/>
    <col min="10" max="10" width="28.1796875" customWidth="1"/>
    <col min="12" max="12" width="17.363281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2" x14ac:dyDescent="0.35">
      <c r="A1" s="12" t="s">
        <v>0</v>
      </c>
      <c r="B1" s="13" t="s">
        <v>11</v>
      </c>
      <c r="C1" s="12" t="s">
        <v>1</v>
      </c>
      <c r="D1" s="13" t="s">
        <v>3</v>
      </c>
      <c r="E1" s="13" t="s">
        <v>6</v>
      </c>
      <c r="F1" s="13" t="s">
        <v>9</v>
      </c>
      <c r="G1" s="13" t="s">
        <v>4</v>
      </c>
      <c r="H1" s="11" t="s">
        <v>2</v>
      </c>
      <c r="I1" s="11" t="s">
        <v>8</v>
      </c>
      <c r="J1" s="11" t="s">
        <v>12</v>
      </c>
    </row>
    <row r="2" spans="1:12" x14ac:dyDescent="0.35">
      <c r="A2" s="3" t="s">
        <v>17</v>
      </c>
      <c r="B2" s="3" t="s">
        <v>15</v>
      </c>
      <c r="C2" s="9">
        <v>100</v>
      </c>
      <c r="D2" s="5">
        <v>46162</v>
      </c>
      <c r="E2" s="9">
        <v>31</v>
      </c>
      <c r="F2" s="8" t="s">
        <v>13</v>
      </c>
      <c r="G2" s="2" t="s">
        <v>7</v>
      </c>
      <c r="H2" s="4" t="s">
        <v>5</v>
      </c>
      <c r="I2" s="14">
        <f>+Table1[[#This Row],[Quantità]]*Table1[[#This Row],[Prezzo Operazione (EUR)]]</f>
        <v>3100</v>
      </c>
      <c r="J2" s="15"/>
    </row>
    <row r="3" spans="1:12" x14ac:dyDescent="0.35">
      <c r="A3" s="3" t="s">
        <v>18</v>
      </c>
      <c r="B3" s="6" t="s">
        <v>14</v>
      </c>
      <c r="C3" s="10">
        <v>50</v>
      </c>
      <c r="D3" s="7">
        <v>46162</v>
      </c>
      <c r="E3" s="10">
        <v>28</v>
      </c>
      <c r="F3" s="8" t="s">
        <v>10</v>
      </c>
      <c r="G3" s="2" t="s">
        <v>16</v>
      </c>
      <c r="H3" s="4" t="s">
        <v>5</v>
      </c>
      <c r="I3" s="14">
        <f>+Table1[[#This Row],[Quantità]]*Table1[[#This Row],[Prezzo Operazione (EUR)]]</f>
        <v>1400</v>
      </c>
      <c r="J3" s="15"/>
    </row>
    <row r="6" spans="1:12" x14ac:dyDescent="0.35">
      <c r="I6" s="18"/>
    </row>
    <row r="8" spans="1:12" x14ac:dyDescent="0.35">
      <c r="I8" s="16"/>
    </row>
    <row r="10" spans="1:12" x14ac:dyDescent="0.35">
      <c r="I10" s="17"/>
    </row>
    <row r="11" spans="1:12" x14ac:dyDescent="0.35">
      <c r="I11" s="17"/>
    </row>
    <row r="12" spans="1:12" x14ac:dyDescent="0.35">
      <c r="I12" s="17"/>
    </row>
    <row r="14" spans="1:12" x14ac:dyDescent="0.35">
      <c r="L14" s="1"/>
    </row>
    <row r="16" spans="1:12" x14ac:dyDescent="0.35">
      <c r="I16" s="16"/>
      <c r="L16" s="1"/>
    </row>
    <row r="17" spans="12:12" x14ac:dyDescent="0.35">
      <c r="L17" s="1"/>
    </row>
  </sheetData>
  <conditionalFormatting sqref="C2:C3">
    <cfRule type="containsBlanks" dxfId="16" priority="32">
      <formula>LEN(TRIM(C2))=0</formula>
    </cfRule>
  </conditionalFormatting>
  <conditionalFormatting sqref="F2:H3 B3">
    <cfRule type="containsText" dxfId="15" priority="3" operator="containsText" text="NEW">
      <formula>NOT(ISERROR(SEARCH("NEW",B2)))</formula>
    </cfRule>
    <cfRule type="containsText" dxfId="14" priority="4" operator="containsText" text="Multi-Asset">
      <formula>NOT(ISERROR(SEARCH("Multi-Asset",B2)))</formula>
    </cfRule>
    <cfRule type="containsText" dxfId="13" priority="5" operator="containsText" text="Altro">
      <formula>NOT(ISERROR(SEARCH("Altro",B2)))</formula>
    </cfRule>
    <cfRule type="containsText" dxfId="12" priority="6" operator="containsText" text="Obbligazionario">
      <formula>NOT(ISERROR(SEARCH("Obbligazionario",B2)))</formula>
    </cfRule>
    <cfRule type="containsText" dxfId="11" priority="7" operator="containsText" text="Obblig.">
      <formula>NOT(ISERROR(SEARCH("Obblig.",B2)))</formula>
    </cfRule>
    <cfRule type="containsText" dxfId="10" priority="8" operator="containsText" text="ETF">
      <formula>NOT(ISERROR(SEARCH("ETF",B2)))</formula>
    </cfRule>
    <cfRule type="containsText" dxfId="9" priority="9" operator="containsText" text="Azionario">
      <formula>NOT(ISERROR(SEARCH("Azionario",B2)))</formula>
    </cfRule>
    <cfRule type="containsText" dxfId="8" priority="10" operator="containsText" text="Liquidità">
      <formula>NOT(ISERROR(SEARCH("Liquidità",B2)))</formula>
    </cfRule>
    <cfRule type="containsText" dxfId="7" priority="11" operator="containsText" text="Bilanciato">
      <formula>NOT(ISERROR(SEARCH("Bilanciato",B2)))</formula>
    </cfRule>
    <cfRule type="containsText" dxfId="6" priority="12" operator="containsText" text="Certif">
      <formula>NOT(ISERROR(SEARCH("Certif",B2)))</formula>
    </cfRule>
  </conditionalFormatting>
  <conditionalFormatting sqref="G2:G3">
    <cfRule type="containsText" dxfId="5" priority="19" operator="containsText" text="Vendita">
      <formula>NOT(ISERROR(SEARCH("Vendita",G2)))</formula>
    </cfRule>
    <cfRule type="containsText" dxfId="4" priority="20" operator="containsText" text="Acquisto">
      <formula>NOT(ISERROR(SEARCH("Acquisto",G2)))</formula>
    </cfRule>
  </conditionalFormatting>
  <conditionalFormatting sqref="H2:H3 B3">
    <cfRule type="containsText" dxfId="3" priority="34" stopIfTrue="1" operator="containsText" text="BTP">
      <formula>NOT(ISERROR(SEARCH("BTP",B2)))</formula>
    </cfRule>
    <cfRule type="expression" dxfId="2" priority="35" stopIfTrue="1">
      <formula>IF(AND(ISNUMBER(SEARCH("H2O", B2)), ISNUMBER(SEARCH("SP", B2))), 1,0)</formula>
    </cfRule>
  </conditionalFormatting>
  <conditionalFormatting sqref="H2:H3">
    <cfRule type="notContainsText" dxfId="1" priority="36" stopIfTrue="1" operator="notContains" text="EUR">
      <formula>ISERROR(SEARCH("EUR",H2))</formula>
    </cfRule>
    <cfRule type="containsBlanks" dxfId="0" priority="36">
      <formula>LEN(TRIM(H2))=0</formula>
    </cfRule>
  </conditionalFormatting>
  <dataValidations count="1">
    <dataValidation type="list" allowBlank="1" showInputMessage="1" showErrorMessage="1" sqref="G2:G3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2026-05-27T08:22:53Z</dcterms:modified>
</cp:coreProperties>
</file>